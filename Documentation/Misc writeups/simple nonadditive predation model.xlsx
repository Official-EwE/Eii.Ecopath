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Y:\Projects\EwE\EwE6\Documentation\Misc writeups\"/>
    </mc:Choice>
  </mc:AlternateContent>
  <xr:revisionPtr revIDLastSave="0" documentId="13_ncr:1_{07675611-A962-4FFE-B14A-EC708D0E2935}" xr6:coauthVersionLast="47" xr6:coauthVersionMax="47" xr10:uidLastSave="{00000000-0000-0000-0000-000000000000}"/>
  <bookViews>
    <workbookView xWindow="9168" yWindow="8460" windowWidth="25680" windowHeight="15288" activeTab="2" xr2:uid="{00000000-000D-0000-FFFF-FFFF00000000}"/>
  </bookViews>
  <sheets>
    <sheet name="var padd" sheetId="1" r:id="rId1"/>
    <sheet name="const padd" sheetId="2" r:id="rId2"/>
    <sheet name="Padd Comparison" sheetId="3" r:id="rId3"/>
  </sheets>
  <definedNames>
    <definedName name="Mmax" localSheetId="0">'var padd'!$B$8</definedName>
    <definedName name="Mmax">'const padd'!$B$8</definedName>
    <definedName name="Mo" localSheetId="1">'const padd'!$B$4</definedName>
    <definedName name="Mo">'var padd'!$B$4</definedName>
    <definedName name="MoP" localSheetId="1">'const padd'!$B$3</definedName>
    <definedName name="MoP">'var padd'!$B$3</definedName>
    <definedName name="MOther">'Padd Comparison'!$B$8</definedName>
    <definedName name="Mp">'Padd Comparison'!$B$7</definedName>
    <definedName name="ph" localSheetId="1">'const padd'!$B$2</definedName>
    <definedName name="ph">'var padd'!$B$2</definedName>
    <definedName name="po" localSheetId="1">'const padd'!$B$1</definedName>
    <definedName name="po">'var padd'!$B$1</definedName>
    <definedName name="Qh" localSheetId="0">'var padd'!$B$9</definedName>
    <definedName name="Qh">'const padd'!$B$9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I2" i="3"/>
  <c r="J2" i="3"/>
  <c r="G2" i="3"/>
  <c r="J2" i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6" i="3"/>
  <c r="G3" i="3" l="1"/>
  <c r="G17" i="3" s="1"/>
  <c r="J3" i="3"/>
  <c r="J12" i="3" s="1"/>
  <c r="I3" i="3"/>
  <c r="I13" i="3" s="1"/>
  <c r="H3" i="3"/>
  <c r="H16" i="3" s="1"/>
  <c r="B12" i="3"/>
  <c r="B10" i="3"/>
  <c r="B6" i="3"/>
  <c r="B8" i="1"/>
  <c r="B8" i="2"/>
  <c r="G13" i="3" l="1"/>
  <c r="J14" i="3"/>
  <c r="H17" i="3"/>
  <c r="J16" i="3"/>
  <c r="J21" i="3"/>
  <c r="J8" i="3"/>
  <c r="J17" i="3"/>
  <c r="H21" i="3"/>
  <c r="G10" i="3"/>
  <c r="G19" i="3"/>
  <c r="J11" i="3"/>
  <c r="J20" i="3"/>
  <c r="G15" i="3"/>
  <c r="I9" i="3"/>
  <c r="G16" i="3"/>
  <c r="J18" i="3"/>
  <c r="I21" i="3"/>
  <c r="G11" i="3"/>
  <c r="G20" i="3"/>
  <c r="I17" i="3"/>
  <c r="G8" i="3"/>
  <c r="J9" i="3"/>
  <c r="I12" i="3"/>
  <c r="J13" i="3"/>
  <c r="J6" i="3"/>
  <c r="H6" i="3"/>
  <c r="H13" i="3"/>
  <c r="I18" i="3"/>
  <c r="H15" i="3"/>
  <c r="G12" i="3"/>
  <c r="G6" i="3"/>
  <c r="I7" i="3"/>
  <c r="H7" i="3"/>
  <c r="I10" i="3"/>
  <c r="H20" i="3"/>
  <c r="H9" i="3"/>
  <c r="H18" i="3"/>
  <c r="H10" i="3"/>
  <c r="I14" i="3"/>
  <c r="H19" i="3"/>
  <c r="G9" i="3"/>
  <c r="I19" i="3"/>
  <c r="G14" i="3"/>
  <c r="G18" i="3"/>
  <c r="J7" i="3"/>
  <c r="I6" i="3"/>
  <c r="H11" i="3"/>
  <c r="G21" i="3"/>
  <c r="I15" i="3"/>
  <c r="J10" i="3"/>
  <c r="I11" i="3"/>
  <c r="J15" i="3"/>
  <c r="J19" i="3"/>
  <c r="G7" i="3"/>
  <c r="H14" i="3"/>
  <c r="H8" i="3"/>
  <c r="H12" i="3"/>
  <c r="I16" i="3"/>
  <c r="I20" i="3"/>
  <c r="I8" i="3"/>
  <c r="B13" i="3"/>
  <c r="J3" i="1"/>
  <c r="K3" i="1" s="1"/>
  <c r="B9" i="1"/>
  <c r="J11" i="1" s="1"/>
  <c r="K11" i="1" s="1"/>
  <c r="B9" i="2"/>
  <c r="G6" i="2" s="1"/>
  <c r="B6" i="2"/>
  <c r="B6" i="1"/>
  <c r="F17" i="2"/>
  <c r="I17" i="2" s="1"/>
  <c r="F16" i="2"/>
  <c r="I16" i="2" s="1"/>
  <c r="F15" i="2"/>
  <c r="I15" i="2" s="1"/>
  <c r="F14" i="2"/>
  <c r="I14" i="2" s="1"/>
  <c r="F13" i="2"/>
  <c r="I13" i="2" s="1"/>
  <c r="F12" i="2"/>
  <c r="I12" i="2" s="1"/>
  <c r="F11" i="2"/>
  <c r="I11" i="2" s="1"/>
  <c r="F10" i="2"/>
  <c r="I10" i="2" s="1"/>
  <c r="F9" i="2"/>
  <c r="I9" i="2" s="1"/>
  <c r="F8" i="2"/>
  <c r="I8" i="2" s="1"/>
  <c r="F7" i="2"/>
  <c r="I7" i="2" s="1"/>
  <c r="F6" i="2"/>
  <c r="I6" i="2" s="1"/>
  <c r="F5" i="2"/>
  <c r="I5" i="2" s="1"/>
  <c r="F4" i="2"/>
  <c r="I4" i="2" s="1"/>
  <c r="F3" i="2"/>
  <c r="I3" i="2" s="1"/>
  <c r="F2" i="2"/>
  <c r="I2" i="2" s="1"/>
  <c r="B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G3" i="2" l="1"/>
  <c r="H3" i="2" s="1"/>
  <c r="G14" i="2"/>
  <c r="H14" i="2" s="1"/>
  <c r="G5" i="2"/>
  <c r="H5" i="2" s="1"/>
  <c r="G15" i="2"/>
  <c r="G16" i="2"/>
  <c r="H16" i="2" s="1"/>
  <c r="G13" i="2"/>
  <c r="H13" i="2" s="1"/>
  <c r="G4" i="2"/>
  <c r="H4" i="2" s="1"/>
  <c r="G2" i="2"/>
  <c r="H2" i="2" s="1"/>
  <c r="G10" i="2"/>
  <c r="H10" i="2" s="1"/>
  <c r="G8" i="2"/>
  <c r="G12" i="2"/>
  <c r="H12" i="2" s="1"/>
  <c r="G17" i="2"/>
  <c r="H17" i="2" s="1"/>
  <c r="G11" i="2"/>
  <c r="H11" i="2" s="1"/>
  <c r="G9" i="2"/>
  <c r="H9" i="2" s="1"/>
  <c r="G7" i="2"/>
  <c r="H7" i="2" s="1"/>
  <c r="H8" i="2"/>
  <c r="J5" i="1"/>
  <c r="K5" i="1" s="1"/>
  <c r="J13" i="1"/>
  <c r="K13" i="1" s="1"/>
  <c r="J15" i="1"/>
  <c r="K15" i="1" s="1"/>
  <c r="J8" i="1"/>
  <c r="K8" i="1" s="1"/>
  <c r="J6" i="1"/>
  <c r="K6" i="1" s="1"/>
  <c r="J14" i="1"/>
  <c r="K14" i="1" s="1"/>
  <c r="J16" i="1"/>
  <c r="K16" i="1" s="1"/>
  <c r="J9" i="1"/>
  <c r="K9" i="1" s="1"/>
  <c r="J10" i="1"/>
  <c r="K10" i="1" s="1"/>
  <c r="J7" i="1"/>
  <c r="K7" i="1" s="1"/>
  <c r="J17" i="1"/>
  <c r="K17" i="1" s="1"/>
  <c r="K2" i="1"/>
  <c r="J4" i="1"/>
  <c r="K4" i="1" s="1"/>
  <c r="J12" i="1"/>
  <c r="K12" i="1" s="1"/>
  <c r="H15" i="2"/>
  <c r="H6" i="2"/>
  <c r="B2" i="1"/>
  <c r="F3" i="1" s="1"/>
  <c r="G3" i="1" s="1"/>
  <c r="H3" i="1" s="1"/>
  <c r="F13" i="1" l="1"/>
  <c r="G13" i="1" s="1"/>
  <c r="H13" i="1" s="1"/>
  <c r="F5" i="1"/>
  <c r="G5" i="1" s="1"/>
  <c r="H5" i="1" s="1"/>
  <c r="F16" i="1"/>
  <c r="G16" i="1" s="1"/>
  <c r="H16" i="1" s="1"/>
  <c r="F12" i="1"/>
  <c r="G12" i="1" s="1"/>
  <c r="H12" i="1" s="1"/>
  <c r="F8" i="1"/>
  <c r="G8" i="1" s="1"/>
  <c r="H8" i="1" s="1"/>
  <c r="F4" i="1"/>
  <c r="G4" i="1" s="1"/>
  <c r="H4" i="1" s="1"/>
  <c r="F17" i="1"/>
  <c r="G17" i="1" s="1"/>
  <c r="H17" i="1" s="1"/>
  <c r="F9" i="1"/>
  <c r="G9" i="1" s="1"/>
  <c r="H9" i="1" s="1"/>
  <c r="F15" i="1"/>
  <c r="G15" i="1" s="1"/>
  <c r="H15" i="1" s="1"/>
  <c r="F11" i="1"/>
  <c r="G11" i="1" s="1"/>
  <c r="H11" i="1" s="1"/>
  <c r="F7" i="1"/>
  <c r="G7" i="1" s="1"/>
  <c r="H7" i="1" s="1"/>
  <c r="F14" i="1"/>
  <c r="G14" i="1" s="1"/>
  <c r="H14" i="1" s="1"/>
  <c r="F10" i="1"/>
  <c r="G10" i="1" s="1"/>
  <c r="H10" i="1" s="1"/>
  <c r="F6" i="1"/>
  <c r="G6" i="1" s="1"/>
  <c r="H6" i="1" s="1"/>
  <c r="F2" i="1"/>
  <c r="G2" i="1" s="1"/>
  <c r="H2" i="1" s="1"/>
</calcChain>
</file>

<file path=xl/sharedStrings.xml><?xml version="1.0" encoding="utf-8"?>
<sst xmlns="http://schemas.openxmlformats.org/spreadsheetml/2006/main" count="41" uniqueCount="18">
  <si>
    <t>po</t>
  </si>
  <si>
    <t>ph</t>
  </si>
  <si>
    <t>q/qo</t>
  </si>
  <si>
    <t>Padd</t>
  </si>
  <si>
    <t>MoP</t>
  </si>
  <si>
    <t xml:space="preserve">Mo </t>
  </si>
  <si>
    <t>pred M</t>
  </si>
  <si>
    <t>ecopathZo</t>
  </si>
  <si>
    <t>Mo</t>
  </si>
  <si>
    <t>Qh</t>
  </si>
  <si>
    <t>alt Mo</t>
  </si>
  <si>
    <t>Mmax</t>
  </si>
  <si>
    <t>old total M</t>
  </si>
  <si>
    <t>better total M</t>
  </si>
  <si>
    <t>Qh (k in word doc)</t>
  </si>
  <si>
    <t>Pred m</t>
  </si>
  <si>
    <t>Pt (qt/q0)</t>
  </si>
  <si>
    <t>Mmax/(1+Qh*Pt) + 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</si>
</sst>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164" fontId="0" fillId="0" borderId="0" xfId="0" applyNumberFormat="1"/>
    <xf numFmtId="2" fontId="0" fillId="0" borderId="0" xfId="0" applyNumberFormat="1"/>
    <xf numFmtId="165" fontId="0" fillId="2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'var padd'!$F$1</c:f>
              <c:strCache>
                <c:ptCount val="1"/>
                <c:pt idx="0">
                  <c:v>Padd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'var padd'!$E$2:$E$17</c:f>
              <c:numCache>
                <c:formatCode>General</c:formatCode>
                <c:ptCount val="16"/>
                <c:pt idx="0" formatCode="0.00E+00">
                  <c:v>1E-10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'var padd'!$F$2:$F$17</c:f>
              <c:numCache>
                <c:formatCode>General</c:formatCode>
                <c:ptCount val="16"/>
                <c:pt idx="0">
                  <c:v>9.9999999989999997E-11</c:v>
                </c:pt>
                <c:pt idx="1">
                  <c:v>0.16666666666666669</c:v>
                </c:pt>
                <c:pt idx="2">
                  <c:v>0.28571428571428575</c:v>
                </c:pt>
                <c:pt idx="3">
                  <c:v>0.37499999999999994</c:v>
                </c:pt>
                <c:pt idx="4">
                  <c:v>0.44444444444444448</c:v>
                </c:pt>
                <c:pt idx="5">
                  <c:v>0.5</c:v>
                </c:pt>
                <c:pt idx="6">
                  <c:v>0.54545454545454541</c:v>
                </c:pt>
                <c:pt idx="7">
                  <c:v>0.58333333333333337</c:v>
                </c:pt>
                <c:pt idx="8">
                  <c:v>0.61538461538461542</c:v>
                </c:pt>
                <c:pt idx="9">
                  <c:v>0.6428571428571429</c:v>
                </c:pt>
                <c:pt idx="10">
                  <c:v>0.66666666666666663</c:v>
                </c:pt>
                <c:pt idx="11">
                  <c:v>0.6875</c:v>
                </c:pt>
                <c:pt idx="12">
                  <c:v>0.70588235294117652</c:v>
                </c:pt>
                <c:pt idx="13">
                  <c:v>0.72222222222222221</c:v>
                </c:pt>
                <c:pt idx="14">
                  <c:v>0.73684210526315785</c:v>
                </c:pt>
                <c:pt idx="15">
                  <c:v>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BF-4285-A0E8-6D5E680852F4}"/>
            </c:ext>
          </c:extLst>
        </c:ser>
        <c:ser>
          <c:idx val="1"/>
          <c:order val="1"/>
          <c:tx>
            <c:strRef>
              <c:f>'var padd'!$G$1</c:f>
              <c:strCache>
                <c:ptCount val="1"/>
                <c:pt idx="0">
                  <c:v>old total 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'var padd'!$E$2:$E$17</c:f>
              <c:numCache>
                <c:formatCode>General</c:formatCode>
                <c:ptCount val="16"/>
                <c:pt idx="0" formatCode="0.00E+00">
                  <c:v>1E-10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'var padd'!$G$2:$G$17</c:f>
              <c:numCache>
                <c:formatCode>0.00E+00</c:formatCode>
                <c:ptCount val="16"/>
                <c:pt idx="0">
                  <c:v>0.69999999994999995</c:v>
                </c:pt>
                <c:pt idx="1">
                  <c:v>0.63333333333333341</c:v>
                </c:pt>
                <c:pt idx="2">
                  <c:v>0.61428571428571432</c:v>
                </c:pt>
                <c:pt idx="3">
                  <c:v>0.62499999999999989</c:v>
                </c:pt>
                <c:pt idx="4">
                  <c:v>0.65555555555555567</c:v>
                </c:pt>
                <c:pt idx="5">
                  <c:v>0.7</c:v>
                </c:pt>
                <c:pt idx="6">
                  <c:v>0.75454545454545452</c:v>
                </c:pt>
                <c:pt idx="7">
                  <c:v>0.81666666666666665</c:v>
                </c:pt>
                <c:pt idx="8">
                  <c:v>0.88461538461538458</c:v>
                </c:pt>
                <c:pt idx="9">
                  <c:v>0.95714285714285718</c:v>
                </c:pt>
                <c:pt idx="10">
                  <c:v>1.0333333333333332</c:v>
                </c:pt>
                <c:pt idx="11">
                  <c:v>1.1125</c:v>
                </c:pt>
                <c:pt idx="12">
                  <c:v>1.1941176470588235</c:v>
                </c:pt>
                <c:pt idx="13">
                  <c:v>1.2777777777777777</c:v>
                </c:pt>
                <c:pt idx="14">
                  <c:v>1.3631578947368421</c:v>
                </c:pt>
                <c:pt idx="15">
                  <c:v>1.45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BF-4285-A0E8-6D5E680852F4}"/>
            </c:ext>
          </c:extLst>
        </c:ser>
        <c:ser>
          <c:idx val="2"/>
          <c:order val="2"/>
          <c:tx>
            <c:strRef>
              <c:f>'var padd'!$I$1</c:f>
              <c:strCache>
                <c:ptCount val="1"/>
                <c:pt idx="0">
                  <c:v>pred 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'var padd'!$E$2:$E$17</c:f>
              <c:numCache>
                <c:formatCode>General</c:formatCode>
                <c:ptCount val="16"/>
                <c:pt idx="0" formatCode="0.00E+00">
                  <c:v>1E-10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'var padd'!$I$2:$I$17</c:f>
              <c:numCache>
                <c:formatCode>0.00E+00</c:formatCode>
                <c:ptCount val="16"/>
                <c:pt idx="0">
                  <c:v>5.0000000000000002E-11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BF-4285-A0E8-6D5E680852F4}"/>
            </c:ext>
          </c:extLst>
        </c:ser>
        <c:ser>
          <c:idx val="3"/>
          <c:order val="3"/>
          <c:tx>
            <c:strRef>
              <c:f>'var padd'!$K$1</c:f>
              <c:strCache>
                <c:ptCount val="1"/>
                <c:pt idx="0">
                  <c:v>better total 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'var padd'!$E$2:$E$17</c:f>
              <c:numCache>
                <c:formatCode>General</c:formatCode>
                <c:ptCount val="16"/>
                <c:pt idx="0" formatCode="0.00E+00">
                  <c:v>1E-10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'var padd'!$K$2:$K$17</c:f>
              <c:numCache>
                <c:formatCode>0.00E+00</c:formatCode>
                <c:ptCount val="16"/>
                <c:pt idx="0">
                  <c:v>0.44999999999375001</c:v>
                </c:pt>
                <c:pt idx="1">
                  <c:v>0.45999999999999996</c:v>
                </c:pt>
                <c:pt idx="2">
                  <c:v>0.5</c:v>
                </c:pt>
                <c:pt idx="3">
                  <c:v>0.55714285714285716</c:v>
                </c:pt>
                <c:pt idx="4">
                  <c:v>0.625</c:v>
                </c:pt>
                <c:pt idx="5">
                  <c:v>0.7</c:v>
                </c:pt>
                <c:pt idx="6">
                  <c:v>0.78</c:v>
                </c:pt>
                <c:pt idx="7">
                  <c:v>0.86363636363636354</c:v>
                </c:pt>
                <c:pt idx="8">
                  <c:v>0.95000000000000007</c:v>
                </c:pt>
                <c:pt idx="9">
                  <c:v>1.0384615384615385</c:v>
                </c:pt>
                <c:pt idx="10">
                  <c:v>1.1285714285714286</c:v>
                </c:pt>
                <c:pt idx="11">
                  <c:v>1.2200000000000002</c:v>
                </c:pt>
                <c:pt idx="12">
                  <c:v>1.3125</c:v>
                </c:pt>
                <c:pt idx="13">
                  <c:v>1.4058823529411766</c:v>
                </c:pt>
                <c:pt idx="14">
                  <c:v>1.5</c:v>
                </c:pt>
                <c:pt idx="15">
                  <c:v>1.5947368421052632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BF-4285-A0E8-6D5E68085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382224"/>
        <c:axId val="589373992"/>
      </c:scatterChart>
      <c:valAx>
        <c:axId val="58938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Q/Qo (relative consumption by predators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589373992"/>
        <c:crosses val="autoZero"/>
        <c:crossBetween val="midCat"/>
      </c:valAx>
      <c:valAx>
        <c:axId val="58937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Padd, total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58938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'const padd'!$F$1</c:f>
              <c:strCache>
                <c:ptCount val="1"/>
                <c:pt idx="0">
                  <c:v>pred 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'const padd'!$E$2:$E$17</c:f>
              <c:numCache>
                <c:formatCode>General</c:formatCode>
                <c:ptCount val="16"/>
                <c:pt idx="0" formatCode="0.00E+00">
                  <c:v>1E-10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'const padd'!$F$2:$F$17</c:f>
              <c:numCache>
                <c:formatCode>0.0000</c:formatCode>
                <c:ptCount val="16"/>
                <c:pt idx="0">
                  <c:v>5.0000000000000002E-11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6B-4F26-9372-F550873A87F6}"/>
            </c:ext>
          </c:extLst>
        </c:ser>
        <c:ser>
          <c:idx val="3"/>
          <c:order val="1"/>
          <c:tx>
            <c:strRef>
              <c:f>'const padd'!$H$1</c:f>
              <c:strCache>
                <c:ptCount val="1"/>
                <c:pt idx="0">
                  <c:v>better total 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'const padd'!$E$2:$E$17</c:f>
              <c:numCache>
                <c:formatCode>General</c:formatCode>
                <c:ptCount val="16"/>
                <c:pt idx="0" formatCode="0.00E+00">
                  <c:v>1E-10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'const padd'!$H$2:$H$17</c:f>
              <c:numCache>
                <c:formatCode>0.0000</c:formatCode>
                <c:ptCount val="16"/>
                <c:pt idx="0">
                  <c:v>0.44999999999375001</c:v>
                </c:pt>
                <c:pt idx="1">
                  <c:v>0.45999999999999996</c:v>
                </c:pt>
                <c:pt idx="2">
                  <c:v>0.5</c:v>
                </c:pt>
                <c:pt idx="3">
                  <c:v>0.55714285714285716</c:v>
                </c:pt>
                <c:pt idx="4">
                  <c:v>0.625</c:v>
                </c:pt>
                <c:pt idx="5">
                  <c:v>0.7</c:v>
                </c:pt>
                <c:pt idx="6">
                  <c:v>0.78</c:v>
                </c:pt>
                <c:pt idx="7">
                  <c:v>0.86363636363636354</c:v>
                </c:pt>
                <c:pt idx="8">
                  <c:v>0.95000000000000007</c:v>
                </c:pt>
                <c:pt idx="9">
                  <c:v>1.0384615384615385</c:v>
                </c:pt>
                <c:pt idx="10">
                  <c:v>1.1285714285714286</c:v>
                </c:pt>
                <c:pt idx="11">
                  <c:v>1.2200000000000002</c:v>
                </c:pt>
                <c:pt idx="12">
                  <c:v>1.3125</c:v>
                </c:pt>
                <c:pt idx="13">
                  <c:v>1.4058823529411766</c:v>
                </c:pt>
                <c:pt idx="14">
                  <c:v>1.5</c:v>
                </c:pt>
                <c:pt idx="15">
                  <c:v>1.5947368421052632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6B-4F26-9372-F550873A87F6}"/>
            </c:ext>
          </c:extLst>
        </c:ser>
        <c:ser>
          <c:idx val="0"/>
          <c:order val="2"/>
          <c:tx>
            <c:v>Total 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'const padd'!$E$2:$E$17</c:f>
              <c:numCache>
                <c:formatCode>General</c:formatCode>
                <c:ptCount val="16"/>
                <c:pt idx="0" formatCode="0.00E+00">
                  <c:v>1E-10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'const padd'!$I$2:$I$17</c:f>
              <c:numCache>
                <c:formatCode>0.0000</c:formatCode>
                <c:ptCount val="16"/>
                <c:pt idx="0">
                  <c:v>0.20000000005000002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0.60000000000000009</c:v>
                </c:pt>
                <c:pt idx="5">
                  <c:v>0.7</c:v>
                </c:pt>
                <c:pt idx="6">
                  <c:v>0.8</c:v>
                </c:pt>
                <c:pt idx="7">
                  <c:v>0.89999999999999991</c:v>
                </c:pt>
                <c:pt idx="8">
                  <c:v>1</c:v>
                </c:pt>
                <c:pt idx="9">
                  <c:v>1.1000000000000001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1.5999999999999999</c:v>
                </c:pt>
                <c:pt idx="15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D0-45B7-803E-66BA7920E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377520"/>
        <c:axId val="589383008"/>
      </c:scatterChart>
      <c:valAx>
        <c:axId val="58937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Q/Qo (relative consumption by predators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589383008"/>
        <c:crosses val="autoZero"/>
        <c:crossBetween val="midCat"/>
      </c:valAx>
      <c:valAx>
        <c:axId val="58938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Padd, total 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58937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Padd=0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'Padd Comparison'!$E$6:$E$21</c:f>
              <c:numCache>
                <c:formatCode>General</c:formatCode>
                <c:ptCount val="16"/>
                <c:pt idx="0" formatCode="0.00E+00">
                  <c:v>1E-10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'Padd Comparison'!$G$6:$G$21</c:f>
              <c:numCache>
                <c:formatCode>0.00</c:formatCode>
                <c:ptCount val="16"/>
                <c:pt idx="0">
                  <c:v>0.69999999987499995</c:v>
                </c:pt>
                <c:pt idx="1">
                  <c:v>0.56666666666666665</c:v>
                </c:pt>
                <c:pt idx="2">
                  <c:v>0.55000000000000004</c:v>
                </c:pt>
                <c:pt idx="3">
                  <c:v>0.57999999999999996</c:v>
                </c:pt>
                <c:pt idx="4">
                  <c:v>0.6333333333333333</c:v>
                </c:pt>
                <c:pt idx="5">
                  <c:v>0.7</c:v>
                </c:pt>
                <c:pt idx="6">
                  <c:v>0.77500000000000002</c:v>
                </c:pt>
                <c:pt idx="7">
                  <c:v>0.85555555555555551</c:v>
                </c:pt>
                <c:pt idx="8">
                  <c:v>0.94000000000000006</c:v>
                </c:pt>
                <c:pt idx="9">
                  <c:v>1.0272727272727273</c:v>
                </c:pt>
                <c:pt idx="10">
                  <c:v>1.1166666666666667</c:v>
                </c:pt>
                <c:pt idx="11">
                  <c:v>1.2076923076923078</c:v>
                </c:pt>
                <c:pt idx="12">
                  <c:v>1.3</c:v>
                </c:pt>
                <c:pt idx="13">
                  <c:v>1.3933333333333333</c:v>
                </c:pt>
                <c:pt idx="14">
                  <c:v>1.4874999999999998</c:v>
                </c:pt>
                <c:pt idx="15">
                  <c:v>1.5823529411764705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6B-45DA-9D5E-1A39071BA023}"/>
            </c:ext>
          </c:extLst>
        </c:ser>
        <c:ser>
          <c:idx val="1"/>
          <c:order val="1"/>
          <c:tx>
            <c:v>Padd=0.25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'Padd Comparison'!$E$6:$E$21</c:f>
              <c:numCache>
                <c:formatCode>General</c:formatCode>
                <c:ptCount val="16"/>
                <c:pt idx="0" formatCode="0.00E+00">
                  <c:v>1E-10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'Padd Comparison'!$H$6:$H$21</c:f>
              <c:numCache>
                <c:formatCode>0.00</c:formatCode>
                <c:ptCount val="16"/>
                <c:pt idx="0">
                  <c:v>0.57499999994218742</c:v>
                </c:pt>
                <c:pt idx="1">
                  <c:v>0.51818181818181819</c:v>
                </c:pt>
                <c:pt idx="2">
                  <c:v>0.52857142857142858</c:v>
                </c:pt>
                <c:pt idx="3">
                  <c:v>0.57058823529411762</c:v>
                </c:pt>
                <c:pt idx="4">
                  <c:v>0.63</c:v>
                </c:pt>
                <c:pt idx="5">
                  <c:v>0.7</c:v>
                </c:pt>
                <c:pt idx="6">
                  <c:v>0.77692307692307694</c:v>
                </c:pt>
                <c:pt idx="7">
                  <c:v>0.85862068965517246</c:v>
                </c:pt>
                <c:pt idx="8">
                  <c:v>0.94375000000000009</c:v>
                </c:pt>
                <c:pt idx="9">
                  <c:v>1.0314285714285716</c:v>
                </c:pt>
                <c:pt idx="10">
                  <c:v>1.1210526315789473</c:v>
                </c:pt>
                <c:pt idx="11">
                  <c:v>1.2121951219512197</c:v>
                </c:pt>
                <c:pt idx="12">
                  <c:v>1.3045454545454545</c:v>
                </c:pt>
                <c:pt idx="13">
                  <c:v>1.397872340425532</c:v>
                </c:pt>
                <c:pt idx="14">
                  <c:v>1.492</c:v>
                </c:pt>
                <c:pt idx="15">
                  <c:v>1.5867924528301887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6B-45DA-9D5E-1A39071BA023}"/>
            </c:ext>
          </c:extLst>
        </c:ser>
        <c:ser>
          <c:idx val="3"/>
          <c:order val="2"/>
          <c:tx>
            <c:v>Padd=0.5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'Padd Comparison'!$E$6:$E$21</c:f>
              <c:numCache>
                <c:formatCode>General</c:formatCode>
                <c:ptCount val="16"/>
                <c:pt idx="0" formatCode="0.00E+00">
                  <c:v>1E-10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'Padd Comparison'!$I$6:$I$21</c:f>
              <c:numCache>
                <c:formatCode>0.00</c:formatCode>
                <c:ptCount val="16"/>
                <c:pt idx="0">
                  <c:v>0.44999999999375001</c:v>
                </c:pt>
                <c:pt idx="1">
                  <c:v>0.45999999999999996</c:v>
                </c:pt>
                <c:pt idx="2">
                  <c:v>0.5</c:v>
                </c:pt>
                <c:pt idx="3">
                  <c:v>0.55714285714285716</c:v>
                </c:pt>
                <c:pt idx="4">
                  <c:v>0.625</c:v>
                </c:pt>
                <c:pt idx="5">
                  <c:v>0.7</c:v>
                </c:pt>
                <c:pt idx="6">
                  <c:v>0.78</c:v>
                </c:pt>
                <c:pt idx="7">
                  <c:v>0.86363636363636354</c:v>
                </c:pt>
                <c:pt idx="8">
                  <c:v>0.95000000000000007</c:v>
                </c:pt>
                <c:pt idx="9">
                  <c:v>1.0384615384615385</c:v>
                </c:pt>
                <c:pt idx="10">
                  <c:v>1.1285714285714286</c:v>
                </c:pt>
                <c:pt idx="11">
                  <c:v>1.2200000000000002</c:v>
                </c:pt>
                <c:pt idx="12">
                  <c:v>1.3125</c:v>
                </c:pt>
                <c:pt idx="13">
                  <c:v>1.4058823529411766</c:v>
                </c:pt>
                <c:pt idx="14">
                  <c:v>1.5</c:v>
                </c:pt>
                <c:pt idx="15">
                  <c:v>1.5947368421052632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6B-45DA-9D5E-1A39071BA023}"/>
            </c:ext>
          </c:extLst>
        </c:ser>
        <c:ser>
          <c:idx val="4"/>
          <c:order val="3"/>
          <c:tx>
            <c:v>Padd=1.0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'Padd Comparison'!$E$6:$E$21</c:f>
              <c:numCache>
                <c:formatCode>General</c:formatCode>
                <c:ptCount val="16"/>
                <c:pt idx="0" formatCode="0.00E+00">
                  <c:v>1E-10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'Padd Comparison'!$J$6:$J$21</c:f>
              <c:numCache>
                <c:formatCode>0.00</c:formatCode>
                <c:ptCount val="16"/>
                <c:pt idx="0">
                  <c:v>0.20000000005000002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0.60000000000000009</c:v>
                </c:pt>
                <c:pt idx="5">
                  <c:v>0.7</c:v>
                </c:pt>
                <c:pt idx="6">
                  <c:v>0.8</c:v>
                </c:pt>
                <c:pt idx="7">
                  <c:v>0.89999999999999991</c:v>
                </c:pt>
                <c:pt idx="8">
                  <c:v>1</c:v>
                </c:pt>
                <c:pt idx="9">
                  <c:v>1.1000000000000001</c:v>
                </c:pt>
                <c:pt idx="10">
                  <c:v>1.2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1.5999999999999999</c:v>
                </c:pt>
                <c:pt idx="15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D6B-45DA-9D5E-1A39071BA023}"/>
            </c:ext>
          </c:extLst>
        </c:ser>
        <c:ser>
          <c:idx val="2"/>
          <c:order val="4"/>
          <c:tx>
            <c:v>Predation 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'Padd Comparison'!$E$6:$E$21</c:f>
              <c:numCache>
                <c:formatCode>General</c:formatCode>
                <c:ptCount val="16"/>
                <c:pt idx="0" formatCode="0.00E+00">
                  <c:v>1E-10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</c:numCache>
            </c:numRef>
          </c:xVal>
          <c:yVal>
            <c:numRef>
              <c:f>'Padd Comparison'!$F$6:$F$21</c:f>
              <c:numCache>
                <c:formatCode>0.0</c:formatCode>
                <c:ptCount val="16"/>
                <c:pt idx="0">
                  <c:v>5.0000000000000002E-11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6B-45DA-9D5E-1A39071BA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377520"/>
        <c:axId val="589383008"/>
      </c:scatterChart>
      <c:valAx>
        <c:axId val="58937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Q/Qo (relative consumption by predators)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589383008"/>
        <c:crosses val="autoZero"/>
        <c:crossBetween val="midCat"/>
      </c:valAx>
      <c:valAx>
        <c:axId val="58938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Predation and total natural</a:t>
                </a:r>
                <a:r>
                  <a:rPr lang="en-US" baseline="0"/>
                  <a:t> mortality rate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M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M"/>
          </a:p>
        </c:txPr>
        <c:crossAx val="58937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M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344170</xdr:colOff>
      <xdr:row>2</xdr:row>
      <xdr:rowOff>121285</xdr:rowOff>
    </xdr:from>
    <xdr:to>
      <xdr:col>19</xdr:col>
      <xdr:colOff>39370</xdr:colOff>
      <xdr:row>17</xdr:row>
      <xdr:rowOff>102235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17</xdr:row>
      <xdr:rowOff>67945</xdr:rowOff>
    </xdr:from>
    <xdr:to>
      <xdr:col>17</xdr:col>
      <xdr:colOff>388620</xdr:colOff>
      <xdr:row>32</xdr:row>
      <xdr:rowOff>48895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9</xdr:row>
      <xdr:rowOff>53340</xdr:rowOff>
    </xdr:from>
    <xdr:to>
      <xdr:col>12</xdr:col>
      <xdr:colOff>175260</xdr:colOff>
      <xdr:row>33</xdr:row>
      <xdr:rowOff>170815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12730A-FBB1-42D2-B654-BB21E7F6E7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>
      <selection activeCell="H2" sqref="H2"/>
    </sheetView>
  </sheetViews>
  <sheetFormatPr defaultRowHeight="14.4" x14ac:dyDescent="0.3"/>
  <cols>
    <col min="1" max="1" width="20.44140625" customWidth="1"/>
    <col min="7" max="7" width="19.88671875" customWidth="1"/>
  </cols>
  <sheetData>
    <row r="1" spans="1:11" x14ac:dyDescent="0.3">
      <c r="A1" t="s">
        <v>0</v>
      </c>
      <c r="B1">
        <v>0.5</v>
      </c>
      <c r="E1" t="s">
        <v>2</v>
      </c>
      <c r="F1" t="s">
        <v>3</v>
      </c>
      <c r="G1" t="s">
        <v>12</v>
      </c>
      <c r="H1" t="s">
        <v>8</v>
      </c>
      <c r="I1" s="2" t="s">
        <v>6</v>
      </c>
      <c r="J1" s="2" t="s">
        <v>10</v>
      </c>
      <c r="K1" s="2" t="s">
        <v>13</v>
      </c>
    </row>
    <row r="2" spans="1:11" x14ac:dyDescent="0.3">
      <c r="A2" t="s">
        <v>1</v>
      </c>
      <c r="B2">
        <f>IF(po&gt;0,1/po-1,10000000000)</f>
        <v>1</v>
      </c>
      <c r="E2" s="1">
        <v>1E-10</v>
      </c>
      <c r="F2">
        <f t="shared" ref="F2:F17" si="0">E2/(ph+E2)</f>
        <v>9.9999999989999997E-11</v>
      </c>
      <c r="G2" s="1">
        <f t="shared" ref="G2:G17" si="1">Mo+(MoP*(1-F2))+E2*MoP*F2</f>
        <v>0.69999999994999995</v>
      </c>
      <c r="H2" s="1">
        <f>G2-I2</f>
        <v>0.69999999989999995</v>
      </c>
      <c r="I2" s="3">
        <f t="shared" ref="I2:I17" si="2">MoP*E2</f>
        <v>5.0000000000000002E-11</v>
      </c>
      <c r="J2" s="3">
        <f>Mmax/(1+Qh*E2)</f>
        <v>0.44999999994375001</v>
      </c>
      <c r="K2" s="3">
        <f>I2+J2</f>
        <v>0.44999999999375001</v>
      </c>
    </row>
    <row r="3" spans="1:11" x14ac:dyDescent="0.3">
      <c r="A3" t="s">
        <v>4</v>
      </c>
      <c r="B3">
        <v>0.5</v>
      </c>
      <c r="E3">
        <v>0.2</v>
      </c>
      <c r="F3">
        <f t="shared" si="0"/>
        <v>0.16666666666666669</v>
      </c>
      <c r="G3" s="1">
        <f t="shared" si="1"/>
        <v>0.63333333333333341</v>
      </c>
      <c r="H3" s="1">
        <f t="shared" ref="H3:H17" si="3">G3-I3</f>
        <v>0.53333333333333344</v>
      </c>
      <c r="I3" s="3">
        <f t="shared" si="2"/>
        <v>0.1</v>
      </c>
      <c r="J3" s="3">
        <f t="shared" ref="J3:J17" si="4">Mmax/(1+Qh*E3)</f>
        <v>0.36</v>
      </c>
      <c r="K3" s="3">
        <f t="shared" ref="K3:K17" si="5">I3+J3</f>
        <v>0.45999999999999996</v>
      </c>
    </row>
    <row r="4" spans="1:11" x14ac:dyDescent="0.3">
      <c r="A4" t="s">
        <v>5</v>
      </c>
      <c r="B4">
        <v>0.2</v>
      </c>
      <c r="E4">
        <v>0.4</v>
      </c>
      <c r="F4">
        <f t="shared" si="0"/>
        <v>0.28571428571428575</v>
      </c>
      <c r="G4" s="1">
        <f t="shared" si="1"/>
        <v>0.61428571428571432</v>
      </c>
      <c r="H4" s="1">
        <f t="shared" si="3"/>
        <v>0.41428571428571431</v>
      </c>
      <c r="I4" s="3">
        <f t="shared" si="2"/>
        <v>0.2</v>
      </c>
      <c r="J4" s="3">
        <f t="shared" si="4"/>
        <v>0.3</v>
      </c>
      <c r="K4" s="3">
        <f t="shared" si="5"/>
        <v>0.5</v>
      </c>
    </row>
    <row r="5" spans="1:11" x14ac:dyDescent="0.3">
      <c r="E5">
        <v>0.6</v>
      </c>
      <c r="F5">
        <f t="shared" si="0"/>
        <v>0.37499999999999994</v>
      </c>
      <c r="G5" s="1">
        <f t="shared" si="1"/>
        <v>0.62499999999999989</v>
      </c>
      <c r="H5" s="1">
        <f t="shared" si="3"/>
        <v>0.3249999999999999</v>
      </c>
      <c r="I5" s="3">
        <f t="shared" si="2"/>
        <v>0.3</v>
      </c>
      <c r="J5" s="3">
        <f t="shared" si="4"/>
        <v>0.25714285714285717</v>
      </c>
      <c r="K5" s="3">
        <f t="shared" si="5"/>
        <v>0.55714285714285716</v>
      </c>
    </row>
    <row r="6" spans="1:11" x14ac:dyDescent="0.3">
      <c r="A6" t="s">
        <v>7</v>
      </c>
      <c r="B6">
        <f>MoP+Mo</f>
        <v>0.7</v>
      </c>
      <c r="E6">
        <v>0.8</v>
      </c>
      <c r="F6">
        <f t="shared" si="0"/>
        <v>0.44444444444444448</v>
      </c>
      <c r="G6" s="1">
        <f t="shared" si="1"/>
        <v>0.65555555555555567</v>
      </c>
      <c r="H6" s="1">
        <f t="shared" si="3"/>
        <v>0.25555555555555565</v>
      </c>
      <c r="I6" s="3">
        <f t="shared" si="2"/>
        <v>0.4</v>
      </c>
      <c r="J6" s="3">
        <f t="shared" si="4"/>
        <v>0.22500000000000001</v>
      </c>
      <c r="K6" s="3">
        <f t="shared" si="5"/>
        <v>0.625</v>
      </c>
    </row>
    <row r="7" spans="1:11" x14ac:dyDescent="0.3">
      <c r="E7">
        <v>1</v>
      </c>
      <c r="F7">
        <f t="shared" si="0"/>
        <v>0.5</v>
      </c>
      <c r="G7" s="1">
        <f t="shared" si="1"/>
        <v>0.7</v>
      </c>
      <c r="H7" s="1">
        <f t="shared" si="3"/>
        <v>0.19999999999999996</v>
      </c>
      <c r="I7" s="3">
        <f t="shared" si="2"/>
        <v>0.5</v>
      </c>
      <c r="J7" s="3">
        <f t="shared" si="4"/>
        <v>0.2</v>
      </c>
      <c r="K7" s="3">
        <f t="shared" si="5"/>
        <v>0.7</v>
      </c>
    </row>
    <row r="8" spans="1:11" x14ac:dyDescent="0.3">
      <c r="A8" t="s">
        <v>11</v>
      </c>
      <c r="B8">
        <f>Mo+MoP*(1-po)</f>
        <v>0.45</v>
      </c>
      <c r="E8">
        <v>1.2</v>
      </c>
      <c r="F8">
        <f t="shared" si="0"/>
        <v>0.54545454545454541</v>
      </c>
      <c r="G8" s="1">
        <f t="shared" si="1"/>
        <v>0.75454545454545452</v>
      </c>
      <c r="H8" s="1">
        <f t="shared" si="3"/>
        <v>0.15454545454545454</v>
      </c>
      <c r="I8" s="3">
        <f t="shared" si="2"/>
        <v>0.6</v>
      </c>
      <c r="J8" s="3">
        <f t="shared" si="4"/>
        <v>0.18</v>
      </c>
      <c r="K8" s="3">
        <f t="shared" si="5"/>
        <v>0.78</v>
      </c>
    </row>
    <row r="9" spans="1:11" x14ac:dyDescent="0.3">
      <c r="A9" t="s">
        <v>14</v>
      </c>
      <c r="B9">
        <f>Mmax/Mo-1</f>
        <v>1.25</v>
      </c>
      <c r="E9">
        <v>1.4</v>
      </c>
      <c r="F9">
        <f t="shared" si="0"/>
        <v>0.58333333333333337</v>
      </c>
      <c r="G9" s="1">
        <f t="shared" si="1"/>
        <v>0.81666666666666665</v>
      </c>
      <c r="H9" s="1">
        <f t="shared" si="3"/>
        <v>0.1166666666666667</v>
      </c>
      <c r="I9" s="3">
        <f t="shared" si="2"/>
        <v>0.7</v>
      </c>
      <c r="J9" s="3">
        <f t="shared" si="4"/>
        <v>0.16363636363636364</v>
      </c>
      <c r="K9" s="3">
        <f t="shared" si="5"/>
        <v>0.86363636363636354</v>
      </c>
    </row>
    <row r="10" spans="1:11" x14ac:dyDescent="0.3">
      <c r="E10">
        <v>1.6</v>
      </c>
      <c r="F10">
        <f t="shared" si="0"/>
        <v>0.61538461538461542</v>
      </c>
      <c r="G10" s="1">
        <f t="shared" si="1"/>
        <v>0.88461538461538458</v>
      </c>
      <c r="H10" s="1">
        <f t="shared" si="3"/>
        <v>8.4615384615384537E-2</v>
      </c>
      <c r="I10" s="3">
        <f t="shared" si="2"/>
        <v>0.8</v>
      </c>
      <c r="J10" s="3">
        <f t="shared" si="4"/>
        <v>0.15</v>
      </c>
      <c r="K10" s="3">
        <f t="shared" si="5"/>
        <v>0.95000000000000007</v>
      </c>
    </row>
    <row r="11" spans="1:11" x14ac:dyDescent="0.3">
      <c r="E11">
        <v>1.8</v>
      </c>
      <c r="F11">
        <f t="shared" si="0"/>
        <v>0.6428571428571429</v>
      </c>
      <c r="G11" s="1">
        <f t="shared" si="1"/>
        <v>0.95714285714285718</v>
      </c>
      <c r="H11" s="1">
        <f t="shared" si="3"/>
        <v>5.7142857142857162E-2</v>
      </c>
      <c r="I11" s="3">
        <f t="shared" si="2"/>
        <v>0.9</v>
      </c>
      <c r="J11" s="3">
        <f t="shared" si="4"/>
        <v>0.13846153846153847</v>
      </c>
      <c r="K11" s="3">
        <f t="shared" si="5"/>
        <v>1.0384615384615385</v>
      </c>
    </row>
    <row r="12" spans="1:11" x14ac:dyDescent="0.3">
      <c r="E12">
        <v>2</v>
      </c>
      <c r="F12">
        <f t="shared" si="0"/>
        <v>0.66666666666666663</v>
      </c>
      <c r="G12" s="1">
        <f t="shared" si="1"/>
        <v>1.0333333333333332</v>
      </c>
      <c r="H12" s="1">
        <f t="shared" si="3"/>
        <v>3.3333333333333215E-2</v>
      </c>
      <c r="I12" s="3">
        <f t="shared" si="2"/>
        <v>1</v>
      </c>
      <c r="J12" s="3">
        <f t="shared" si="4"/>
        <v>0.12857142857142859</v>
      </c>
      <c r="K12" s="3">
        <f t="shared" si="5"/>
        <v>1.1285714285714286</v>
      </c>
    </row>
    <row r="13" spans="1:11" x14ac:dyDescent="0.3">
      <c r="E13">
        <v>2.2000000000000002</v>
      </c>
      <c r="F13">
        <f t="shared" si="0"/>
        <v>0.6875</v>
      </c>
      <c r="G13" s="1">
        <f t="shared" si="1"/>
        <v>1.1125</v>
      </c>
      <c r="H13" s="1">
        <f t="shared" si="3"/>
        <v>1.2499999999999956E-2</v>
      </c>
      <c r="I13" s="3">
        <f t="shared" si="2"/>
        <v>1.1000000000000001</v>
      </c>
      <c r="J13" s="3">
        <f t="shared" si="4"/>
        <v>0.12000000000000001</v>
      </c>
      <c r="K13" s="3">
        <f t="shared" si="5"/>
        <v>1.2200000000000002</v>
      </c>
    </row>
    <row r="14" spans="1:11" x14ac:dyDescent="0.3">
      <c r="E14">
        <v>2.4</v>
      </c>
      <c r="F14">
        <f t="shared" si="0"/>
        <v>0.70588235294117652</v>
      </c>
      <c r="G14" s="1">
        <f t="shared" si="1"/>
        <v>1.1941176470588235</v>
      </c>
      <c r="H14" s="1">
        <f t="shared" si="3"/>
        <v>-5.8823529411764497E-3</v>
      </c>
      <c r="I14" s="3">
        <f t="shared" si="2"/>
        <v>1.2</v>
      </c>
      <c r="J14" s="3">
        <f t="shared" si="4"/>
        <v>0.1125</v>
      </c>
      <c r="K14" s="3">
        <f t="shared" si="5"/>
        <v>1.3125</v>
      </c>
    </row>
    <row r="15" spans="1:11" x14ac:dyDescent="0.3">
      <c r="E15">
        <v>2.6</v>
      </c>
      <c r="F15">
        <f t="shared" si="0"/>
        <v>0.72222222222222221</v>
      </c>
      <c r="G15" s="1">
        <f t="shared" si="1"/>
        <v>1.2777777777777777</v>
      </c>
      <c r="H15" s="1">
        <f t="shared" si="3"/>
        <v>-2.2222222222222365E-2</v>
      </c>
      <c r="I15" s="3">
        <f t="shared" si="2"/>
        <v>1.3</v>
      </c>
      <c r="J15" s="3">
        <f t="shared" si="4"/>
        <v>0.10588235294117647</v>
      </c>
      <c r="K15" s="3">
        <f t="shared" si="5"/>
        <v>1.4058823529411766</v>
      </c>
    </row>
    <row r="16" spans="1:11" x14ac:dyDescent="0.3">
      <c r="E16">
        <v>2.8</v>
      </c>
      <c r="F16">
        <f t="shared" si="0"/>
        <v>0.73684210526315785</v>
      </c>
      <c r="G16" s="1">
        <f t="shared" si="1"/>
        <v>1.3631578947368421</v>
      </c>
      <c r="H16" s="1">
        <f t="shared" si="3"/>
        <v>-3.6842105263157787E-2</v>
      </c>
      <c r="I16" s="3">
        <f t="shared" si="2"/>
        <v>1.4</v>
      </c>
      <c r="J16" s="3">
        <f t="shared" si="4"/>
        <v>0.1</v>
      </c>
      <c r="K16" s="3">
        <f t="shared" si="5"/>
        <v>1.5</v>
      </c>
    </row>
    <row r="17" spans="5:11" x14ac:dyDescent="0.3">
      <c r="E17">
        <v>3</v>
      </c>
      <c r="F17">
        <f t="shared" si="0"/>
        <v>0.75</v>
      </c>
      <c r="G17" s="1">
        <f t="shared" si="1"/>
        <v>1.45</v>
      </c>
      <c r="H17" s="1">
        <f t="shared" si="3"/>
        <v>-5.0000000000000044E-2</v>
      </c>
      <c r="I17" s="3">
        <f t="shared" si="2"/>
        <v>1.5</v>
      </c>
      <c r="J17" s="3">
        <f t="shared" si="4"/>
        <v>9.4736842105263161E-2</v>
      </c>
      <c r="K17" s="3">
        <f t="shared" si="5"/>
        <v>1.5947368421052632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>
      <selection activeCell="C2" sqref="C2"/>
    </sheetView>
  </sheetViews>
  <sheetFormatPr defaultRowHeight="14.4" x14ac:dyDescent="0.3"/>
  <sheetData>
    <row r="1" spans="1:9" x14ac:dyDescent="0.3">
      <c r="A1" t="s">
        <v>0</v>
      </c>
      <c r="B1">
        <v>0.5</v>
      </c>
      <c r="E1" t="s">
        <v>2</v>
      </c>
      <c r="F1" s="2" t="s">
        <v>6</v>
      </c>
      <c r="G1" s="2" t="s">
        <v>10</v>
      </c>
      <c r="H1" s="6" t="s">
        <v>13</v>
      </c>
    </row>
    <row r="2" spans="1:9" x14ac:dyDescent="0.3">
      <c r="A2" t="s">
        <v>1</v>
      </c>
      <c r="B2">
        <f>IF(po&gt;0,1/po-1,10000000000)</f>
        <v>1</v>
      </c>
      <c r="E2" s="1">
        <v>1E-10</v>
      </c>
      <c r="F2" s="6">
        <f t="shared" ref="F2:F17" si="0">MoP*E2</f>
        <v>5.0000000000000002E-11</v>
      </c>
      <c r="G2" s="6">
        <f t="shared" ref="G2:G17" si="1">Mmax/(1+Qh*E2)</f>
        <v>0.44999999994375001</v>
      </c>
      <c r="H2" s="6">
        <f>F2+G2</f>
        <v>0.44999999999375001</v>
      </c>
      <c r="I2" s="7">
        <f>F2+'const padd'!Mo</f>
        <v>0.20000000005000002</v>
      </c>
    </row>
    <row r="3" spans="1:9" x14ac:dyDescent="0.3">
      <c r="A3" t="s">
        <v>4</v>
      </c>
      <c r="B3">
        <v>0.5</v>
      </c>
      <c r="E3">
        <v>0.2</v>
      </c>
      <c r="F3" s="6">
        <f t="shared" si="0"/>
        <v>0.1</v>
      </c>
      <c r="G3" s="6">
        <f t="shared" si="1"/>
        <v>0.36</v>
      </c>
      <c r="H3" s="6">
        <f t="shared" ref="H3:H17" si="2">F3+G3</f>
        <v>0.45999999999999996</v>
      </c>
      <c r="I3" s="7">
        <f>F3+'const padd'!Mo</f>
        <v>0.30000000000000004</v>
      </c>
    </row>
    <row r="4" spans="1:9" x14ac:dyDescent="0.3">
      <c r="A4" t="s">
        <v>5</v>
      </c>
      <c r="B4">
        <v>0.2</v>
      </c>
      <c r="E4">
        <v>0.4</v>
      </c>
      <c r="F4" s="6">
        <f t="shared" si="0"/>
        <v>0.2</v>
      </c>
      <c r="G4" s="6">
        <f t="shared" si="1"/>
        <v>0.3</v>
      </c>
      <c r="H4" s="6">
        <f t="shared" si="2"/>
        <v>0.5</v>
      </c>
      <c r="I4" s="7">
        <f>F4+'const padd'!Mo</f>
        <v>0.4</v>
      </c>
    </row>
    <row r="5" spans="1:9" x14ac:dyDescent="0.3">
      <c r="E5">
        <v>0.6</v>
      </c>
      <c r="F5" s="6">
        <f t="shared" si="0"/>
        <v>0.3</v>
      </c>
      <c r="G5" s="6">
        <f t="shared" si="1"/>
        <v>0.25714285714285717</v>
      </c>
      <c r="H5" s="6">
        <f t="shared" si="2"/>
        <v>0.55714285714285716</v>
      </c>
      <c r="I5" s="7">
        <f>F5+'const padd'!Mo</f>
        <v>0.5</v>
      </c>
    </row>
    <row r="6" spans="1:9" x14ac:dyDescent="0.3">
      <c r="A6" t="s">
        <v>7</v>
      </c>
      <c r="B6">
        <f>MoP+Mo</f>
        <v>0.7</v>
      </c>
      <c r="E6">
        <v>0.8</v>
      </c>
      <c r="F6" s="6">
        <f t="shared" si="0"/>
        <v>0.4</v>
      </c>
      <c r="G6" s="6">
        <f t="shared" si="1"/>
        <v>0.22500000000000001</v>
      </c>
      <c r="H6" s="6">
        <f t="shared" si="2"/>
        <v>0.625</v>
      </c>
      <c r="I6" s="7">
        <f>F6+'const padd'!Mo</f>
        <v>0.60000000000000009</v>
      </c>
    </row>
    <row r="7" spans="1:9" x14ac:dyDescent="0.3">
      <c r="E7">
        <v>1</v>
      </c>
      <c r="F7" s="6">
        <f t="shared" si="0"/>
        <v>0.5</v>
      </c>
      <c r="G7" s="6">
        <f t="shared" si="1"/>
        <v>0.2</v>
      </c>
      <c r="H7" s="6">
        <f t="shared" si="2"/>
        <v>0.7</v>
      </c>
      <c r="I7" s="7">
        <f>F7+'const padd'!Mo</f>
        <v>0.7</v>
      </c>
    </row>
    <row r="8" spans="1:9" x14ac:dyDescent="0.3">
      <c r="A8" t="s">
        <v>11</v>
      </c>
      <c r="B8">
        <f>Mo+MoP*(1-po)</f>
        <v>0.45</v>
      </c>
      <c r="E8">
        <v>1.2</v>
      </c>
      <c r="F8" s="6">
        <f t="shared" si="0"/>
        <v>0.6</v>
      </c>
      <c r="G8" s="6">
        <f t="shared" si="1"/>
        <v>0.18</v>
      </c>
      <c r="H8" s="6">
        <f t="shared" si="2"/>
        <v>0.78</v>
      </c>
      <c r="I8" s="7">
        <f>F8+'const padd'!Mo</f>
        <v>0.8</v>
      </c>
    </row>
    <row r="9" spans="1:9" x14ac:dyDescent="0.3">
      <c r="A9" t="s">
        <v>9</v>
      </c>
      <c r="B9">
        <f>Mmax/Mo-1</f>
        <v>1.25</v>
      </c>
      <c r="E9">
        <v>1.4</v>
      </c>
      <c r="F9" s="6">
        <f t="shared" si="0"/>
        <v>0.7</v>
      </c>
      <c r="G9" s="6">
        <f t="shared" si="1"/>
        <v>0.16363636363636364</v>
      </c>
      <c r="H9" s="6">
        <f t="shared" si="2"/>
        <v>0.86363636363636354</v>
      </c>
      <c r="I9" s="7">
        <f>F9+'const padd'!Mo</f>
        <v>0.89999999999999991</v>
      </c>
    </row>
    <row r="10" spans="1:9" x14ac:dyDescent="0.3">
      <c r="E10">
        <v>1.6</v>
      </c>
      <c r="F10" s="6">
        <f t="shared" si="0"/>
        <v>0.8</v>
      </c>
      <c r="G10" s="6">
        <f t="shared" si="1"/>
        <v>0.15</v>
      </c>
      <c r="H10" s="6">
        <f t="shared" si="2"/>
        <v>0.95000000000000007</v>
      </c>
      <c r="I10" s="7">
        <f>F10+'const padd'!Mo</f>
        <v>1</v>
      </c>
    </row>
    <row r="11" spans="1:9" x14ac:dyDescent="0.3">
      <c r="E11">
        <v>1.8</v>
      </c>
      <c r="F11" s="6">
        <f t="shared" si="0"/>
        <v>0.9</v>
      </c>
      <c r="G11" s="6">
        <f t="shared" si="1"/>
        <v>0.13846153846153847</v>
      </c>
      <c r="H11" s="6">
        <f t="shared" si="2"/>
        <v>1.0384615384615385</v>
      </c>
      <c r="I11" s="7">
        <f>F11+'const padd'!Mo</f>
        <v>1.1000000000000001</v>
      </c>
    </row>
    <row r="12" spans="1:9" x14ac:dyDescent="0.3">
      <c r="E12">
        <v>2</v>
      </c>
      <c r="F12" s="6">
        <f t="shared" si="0"/>
        <v>1</v>
      </c>
      <c r="G12" s="6">
        <f t="shared" si="1"/>
        <v>0.12857142857142859</v>
      </c>
      <c r="H12" s="6">
        <f t="shared" si="2"/>
        <v>1.1285714285714286</v>
      </c>
      <c r="I12" s="7">
        <f>F12+'const padd'!Mo</f>
        <v>1.2</v>
      </c>
    </row>
    <row r="13" spans="1:9" x14ac:dyDescent="0.3">
      <c r="E13">
        <v>2.2000000000000002</v>
      </c>
      <c r="F13" s="6">
        <f t="shared" si="0"/>
        <v>1.1000000000000001</v>
      </c>
      <c r="G13" s="6">
        <f t="shared" si="1"/>
        <v>0.12000000000000001</v>
      </c>
      <c r="H13" s="6">
        <f t="shared" si="2"/>
        <v>1.2200000000000002</v>
      </c>
      <c r="I13" s="7">
        <f>F13+'const padd'!Mo</f>
        <v>1.3</v>
      </c>
    </row>
    <row r="14" spans="1:9" x14ac:dyDescent="0.3">
      <c r="E14">
        <v>2.4</v>
      </c>
      <c r="F14" s="6">
        <f t="shared" si="0"/>
        <v>1.2</v>
      </c>
      <c r="G14" s="6">
        <f t="shared" si="1"/>
        <v>0.1125</v>
      </c>
      <c r="H14" s="6">
        <f t="shared" si="2"/>
        <v>1.3125</v>
      </c>
      <c r="I14" s="7">
        <f>F14+'const padd'!Mo</f>
        <v>1.4</v>
      </c>
    </row>
    <row r="15" spans="1:9" x14ac:dyDescent="0.3">
      <c r="E15">
        <v>2.6</v>
      </c>
      <c r="F15" s="6">
        <f t="shared" si="0"/>
        <v>1.3</v>
      </c>
      <c r="G15" s="6">
        <f t="shared" si="1"/>
        <v>0.10588235294117647</v>
      </c>
      <c r="H15" s="6">
        <f t="shared" si="2"/>
        <v>1.4058823529411766</v>
      </c>
      <c r="I15" s="7">
        <f>F15+'const padd'!Mo</f>
        <v>1.5</v>
      </c>
    </row>
    <row r="16" spans="1:9" x14ac:dyDescent="0.3">
      <c r="E16">
        <v>2.8</v>
      </c>
      <c r="F16" s="6">
        <f t="shared" si="0"/>
        <v>1.4</v>
      </c>
      <c r="G16" s="6">
        <f t="shared" si="1"/>
        <v>0.1</v>
      </c>
      <c r="H16" s="6">
        <f t="shared" si="2"/>
        <v>1.5</v>
      </c>
      <c r="I16" s="7">
        <f>F16+'const padd'!Mo</f>
        <v>1.5999999999999999</v>
      </c>
    </row>
    <row r="17" spans="5:9" x14ac:dyDescent="0.3">
      <c r="E17">
        <v>3</v>
      </c>
      <c r="F17" s="6">
        <f t="shared" si="0"/>
        <v>1.5</v>
      </c>
      <c r="G17" s="6">
        <f t="shared" si="1"/>
        <v>9.4736842105263161E-2</v>
      </c>
      <c r="H17" s="6">
        <f t="shared" si="2"/>
        <v>1.5947368421052632</v>
      </c>
      <c r="I17" s="7">
        <f>F17+'const padd'!Mo</f>
        <v>1.7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1A9F-8B4C-4D75-932E-337BB534CAB4}">
  <dimension ref="A1:O21"/>
  <sheetViews>
    <sheetView tabSelected="1" workbookViewId="0">
      <selection activeCell="G2" sqref="G2"/>
    </sheetView>
  </sheetViews>
  <sheetFormatPr defaultRowHeight="14.4" x14ac:dyDescent="0.3"/>
  <cols>
    <col min="6" max="6" width="8.88671875" style="4"/>
    <col min="7" max="7" width="16.77734375" customWidth="1"/>
    <col min="8" max="8" width="15.5546875" customWidth="1"/>
    <col min="9" max="9" width="13.88671875" customWidth="1"/>
    <col min="10" max="10" width="18.109375" customWidth="1"/>
    <col min="11" max="11" width="15" customWidth="1"/>
    <col min="12" max="12" width="14.44140625" customWidth="1"/>
    <col min="13" max="13" width="14.21875" customWidth="1"/>
  </cols>
  <sheetData>
    <row r="1" spans="1:15" x14ac:dyDescent="0.3">
      <c r="F1" t="s">
        <v>3</v>
      </c>
      <c r="G1" s="4">
        <v>0</v>
      </c>
      <c r="H1">
        <v>0.25</v>
      </c>
      <c r="I1">
        <v>0.5</v>
      </c>
      <c r="J1">
        <v>1</v>
      </c>
    </row>
    <row r="2" spans="1:15" x14ac:dyDescent="0.3">
      <c r="F2" t="s">
        <v>11</v>
      </c>
      <c r="G2">
        <f>MOther+Mp*(1-G1)</f>
        <v>0.7</v>
      </c>
      <c r="H2">
        <f>MOther+Mp*(1-H1)</f>
        <v>0.57499999999999996</v>
      </c>
      <c r="I2">
        <f>MOther+Mp*(1-I1)</f>
        <v>0.45</v>
      </c>
      <c r="J2">
        <f>MOther+Mp*(1-J1)</f>
        <v>0.2</v>
      </c>
    </row>
    <row r="3" spans="1:15" x14ac:dyDescent="0.3">
      <c r="F3" t="s">
        <v>9</v>
      </c>
      <c r="G3">
        <f>G2/MOther-1</f>
        <v>2.4999999999999996</v>
      </c>
      <c r="H3">
        <f>H2/MOther-1</f>
        <v>1.8749999999999996</v>
      </c>
      <c r="I3">
        <f>I2/MOther-1</f>
        <v>1.25</v>
      </c>
      <c r="J3">
        <f>J2/MOther-1</f>
        <v>0</v>
      </c>
    </row>
    <row r="5" spans="1:15" x14ac:dyDescent="0.3">
      <c r="A5" t="s">
        <v>0</v>
      </c>
      <c r="B5">
        <v>0.5</v>
      </c>
      <c r="E5" t="s">
        <v>16</v>
      </c>
      <c r="F5" t="s">
        <v>15</v>
      </c>
      <c r="G5" t="s">
        <v>17</v>
      </c>
      <c r="H5" t="s">
        <v>17</v>
      </c>
      <c r="I5" t="s">
        <v>17</v>
      </c>
      <c r="J5" t="s">
        <v>17</v>
      </c>
    </row>
    <row r="6" spans="1:15" x14ac:dyDescent="0.3">
      <c r="A6" t="s">
        <v>1</v>
      </c>
      <c r="B6">
        <f>IF(po&gt;0,1/po-1,10000000000)</f>
        <v>1</v>
      </c>
      <c r="E6" s="1">
        <v>1E-10</v>
      </c>
      <c r="F6" s="4">
        <f t="shared" ref="F6:F21" si="0">Mp*E6</f>
        <v>5.0000000000000002E-11</v>
      </c>
      <c r="G6" s="5">
        <f>G$2/(1+G$3*$E6) +$F6</f>
        <v>0.69999999987499995</v>
      </c>
      <c r="H6" s="5">
        <f t="shared" ref="H6:J21" si="1">H$2/(1+H$3*$E6) +$F6</f>
        <v>0.57499999994218742</v>
      </c>
      <c r="I6" s="5">
        <f t="shared" si="1"/>
        <v>0.44999999999375001</v>
      </c>
      <c r="J6" s="5">
        <f t="shared" si="1"/>
        <v>0.20000000005000002</v>
      </c>
      <c r="N6" s="1"/>
      <c r="O6" s="1"/>
    </row>
    <row r="7" spans="1:15" x14ac:dyDescent="0.3">
      <c r="A7" t="s">
        <v>4</v>
      </c>
      <c r="B7">
        <v>0.5</v>
      </c>
      <c r="E7">
        <v>0.2</v>
      </c>
      <c r="F7" s="4">
        <f t="shared" si="0"/>
        <v>0.1</v>
      </c>
      <c r="G7" s="5">
        <f t="shared" ref="G7:G21" si="2">G$2/(1+G$3*$E7) +$F7</f>
        <v>0.56666666666666665</v>
      </c>
      <c r="H7" s="5">
        <f t="shared" si="1"/>
        <v>0.51818181818181819</v>
      </c>
      <c r="I7" s="5">
        <f t="shared" si="1"/>
        <v>0.45999999999999996</v>
      </c>
      <c r="J7" s="5">
        <f t="shared" si="1"/>
        <v>0.30000000000000004</v>
      </c>
      <c r="N7" s="1"/>
      <c r="O7" s="1"/>
    </row>
    <row r="8" spans="1:15" x14ac:dyDescent="0.3">
      <c r="A8" t="s">
        <v>5</v>
      </c>
      <c r="B8">
        <v>0.2</v>
      </c>
      <c r="E8">
        <v>0.4</v>
      </c>
      <c r="F8" s="4">
        <f t="shared" si="0"/>
        <v>0.2</v>
      </c>
      <c r="G8" s="5">
        <f t="shared" si="2"/>
        <v>0.55000000000000004</v>
      </c>
      <c r="H8" s="5">
        <f t="shared" si="1"/>
        <v>0.52857142857142858</v>
      </c>
      <c r="I8" s="5">
        <f t="shared" si="1"/>
        <v>0.5</v>
      </c>
      <c r="J8" s="5">
        <f t="shared" si="1"/>
        <v>0.4</v>
      </c>
      <c r="N8" s="1"/>
      <c r="O8" s="1"/>
    </row>
    <row r="9" spans="1:15" x14ac:dyDescent="0.3">
      <c r="E9">
        <v>0.6</v>
      </c>
      <c r="F9" s="4">
        <f t="shared" si="0"/>
        <v>0.3</v>
      </c>
      <c r="G9" s="5">
        <f t="shared" si="2"/>
        <v>0.57999999999999996</v>
      </c>
      <c r="H9" s="5">
        <f t="shared" si="1"/>
        <v>0.57058823529411762</v>
      </c>
      <c r="I9" s="5">
        <f t="shared" si="1"/>
        <v>0.55714285714285716</v>
      </c>
      <c r="J9" s="5">
        <f t="shared" si="1"/>
        <v>0.5</v>
      </c>
      <c r="N9" s="1"/>
      <c r="O9" s="1"/>
    </row>
    <row r="10" spans="1:15" x14ac:dyDescent="0.3">
      <c r="A10" t="s">
        <v>7</v>
      </c>
      <c r="B10">
        <f>MoP+Mo</f>
        <v>0.7</v>
      </c>
      <c r="E10">
        <v>0.8</v>
      </c>
      <c r="F10" s="4">
        <f t="shared" si="0"/>
        <v>0.4</v>
      </c>
      <c r="G10" s="5">
        <f t="shared" si="2"/>
        <v>0.6333333333333333</v>
      </c>
      <c r="H10" s="5">
        <f t="shared" si="1"/>
        <v>0.63</v>
      </c>
      <c r="I10" s="5">
        <f t="shared" si="1"/>
        <v>0.625</v>
      </c>
      <c r="J10" s="5">
        <f t="shared" si="1"/>
        <v>0.60000000000000009</v>
      </c>
      <c r="N10" s="1"/>
      <c r="O10" s="1"/>
    </row>
    <row r="11" spans="1:15" x14ac:dyDescent="0.3">
      <c r="E11">
        <v>1</v>
      </c>
      <c r="F11" s="4">
        <f t="shared" si="0"/>
        <v>0.5</v>
      </c>
      <c r="G11" s="5">
        <f t="shared" si="2"/>
        <v>0.7</v>
      </c>
      <c r="H11" s="5">
        <f t="shared" si="1"/>
        <v>0.7</v>
      </c>
      <c r="I11" s="5">
        <f t="shared" si="1"/>
        <v>0.7</v>
      </c>
      <c r="J11" s="5">
        <f t="shared" si="1"/>
        <v>0.7</v>
      </c>
      <c r="N11" s="1"/>
      <c r="O11" s="1"/>
    </row>
    <row r="12" spans="1:15" x14ac:dyDescent="0.3">
      <c r="A12" t="s">
        <v>11</v>
      </c>
      <c r="B12">
        <f>Mo+MoP*(1-po)</f>
        <v>0.45</v>
      </c>
      <c r="E12">
        <v>1.2</v>
      </c>
      <c r="F12" s="4">
        <f t="shared" si="0"/>
        <v>0.6</v>
      </c>
      <c r="G12" s="5">
        <f t="shared" si="2"/>
        <v>0.77500000000000002</v>
      </c>
      <c r="H12" s="5">
        <f t="shared" si="1"/>
        <v>0.77692307692307694</v>
      </c>
      <c r="I12" s="5">
        <f t="shared" si="1"/>
        <v>0.78</v>
      </c>
      <c r="J12" s="5">
        <f t="shared" si="1"/>
        <v>0.8</v>
      </c>
      <c r="N12" s="1"/>
      <c r="O12" s="1"/>
    </row>
    <row r="13" spans="1:15" x14ac:dyDescent="0.3">
      <c r="A13" t="s">
        <v>9</v>
      </c>
      <c r="B13">
        <f>Mmax/MOther-1</f>
        <v>1.25</v>
      </c>
      <c r="E13">
        <v>1.4</v>
      </c>
      <c r="F13" s="4">
        <f t="shared" si="0"/>
        <v>0.7</v>
      </c>
      <c r="G13" s="5">
        <f t="shared" si="2"/>
        <v>0.85555555555555551</v>
      </c>
      <c r="H13" s="5">
        <f t="shared" si="1"/>
        <v>0.85862068965517246</v>
      </c>
      <c r="I13" s="5">
        <f t="shared" si="1"/>
        <v>0.86363636363636354</v>
      </c>
      <c r="J13" s="5">
        <f t="shared" si="1"/>
        <v>0.89999999999999991</v>
      </c>
      <c r="N13" s="1"/>
      <c r="O13" s="1"/>
    </row>
    <row r="14" spans="1:15" x14ac:dyDescent="0.3">
      <c r="E14">
        <v>1.6</v>
      </c>
      <c r="F14" s="4">
        <f t="shared" si="0"/>
        <v>0.8</v>
      </c>
      <c r="G14" s="5">
        <f t="shared" si="2"/>
        <v>0.94000000000000006</v>
      </c>
      <c r="H14" s="5">
        <f t="shared" si="1"/>
        <v>0.94375000000000009</v>
      </c>
      <c r="I14" s="5">
        <f t="shared" si="1"/>
        <v>0.95000000000000007</v>
      </c>
      <c r="J14" s="5">
        <f t="shared" si="1"/>
        <v>1</v>
      </c>
      <c r="N14" s="1"/>
      <c r="O14" s="1"/>
    </row>
    <row r="15" spans="1:15" x14ac:dyDescent="0.3">
      <c r="E15">
        <v>1.8</v>
      </c>
      <c r="F15" s="4">
        <f t="shared" si="0"/>
        <v>0.9</v>
      </c>
      <c r="G15" s="5">
        <f t="shared" si="2"/>
        <v>1.0272727272727273</v>
      </c>
      <c r="H15" s="5">
        <f t="shared" si="1"/>
        <v>1.0314285714285716</v>
      </c>
      <c r="I15" s="5">
        <f t="shared" si="1"/>
        <v>1.0384615384615385</v>
      </c>
      <c r="J15" s="5">
        <f t="shared" si="1"/>
        <v>1.1000000000000001</v>
      </c>
      <c r="N15" s="1"/>
      <c r="O15" s="1"/>
    </row>
    <row r="16" spans="1:15" x14ac:dyDescent="0.3">
      <c r="E16">
        <v>2</v>
      </c>
      <c r="F16" s="4">
        <f t="shared" si="0"/>
        <v>1</v>
      </c>
      <c r="G16" s="5">
        <f t="shared" si="2"/>
        <v>1.1166666666666667</v>
      </c>
      <c r="H16" s="5">
        <f t="shared" si="1"/>
        <v>1.1210526315789473</v>
      </c>
      <c r="I16" s="5">
        <f t="shared" si="1"/>
        <v>1.1285714285714286</v>
      </c>
      <c r="J16" s="5">
        <f t="shared" si="1"/>
        <v>1.2</v>
      </c>
      <c r="N16" s="1"/>
      <c r="O16" s="1"/>
    </row>
    <row r="17" spans="5:15" x14ac:dyDescent="0.3">
      <c r="E17">
        <v>2.2000000000000002</v>
      </c>
      <c r="F17" s="4">
        <f t="shared" si="0"/>
        <v>1.1000000000000001</v>
      </c>
      <c r="G17" s="5">
        <f t="shared" si="2"/>
        <v>1.2076923076923078</v>
      </c>
      <c r="H17" s="5">
        <f t="shared" si="1"/>
        <v>1.2121951219512197</v>
      </c>
      <c r="I17" s="5">
        <f t="shared" si="1"/>
        <v>1.2200000000000002</v>
      </c>
      <c r="J17" s="5">
        <f t="shared" si="1"/>
        <v>1.3</v>
      </c>
      <c r="N17" s="1"/>
      <c r="O17" s="1"/>
    </row>
    <row r="18" spans="5:15" x14ac:dyDescent="0.3">
      <c r="E18">
        <v>2.4</v>
      </c>
      <c r="F18" s="4">
        <f t="shared" si="0"/>
        <v>1.2</v>
      </c>
      <c r="G18" s="5">
        <f t="shared" si="2"/>
        <v>1.3</v>
      </c>
      <c r="H18" s="5">
        <f t="shared" si="1"/>
        <v>1.3045454545454545</v>
      </c>
      <c r="I18" s="5">
        <f t="shared" si="1"/>
        <v>1.3125</v>
      </c>
      <c r="J18" s="5">
        <f t="shared" si="1"/>
        <v>1.4</v>
      </c>
      <c r="N18" s="1"/>
      <c r="O18" s="1"/>
    </row>
    <row r="19" spans="5:15" x14ac:dyDescent="0.3">
      <c r="E19">
        <v>2.6</v>
      </c>
      <c r="F19" s="4">
        <f t="shared" si="0"/>
        <v>1.3</v>
      </c>
      <c r="G19" s="5">
        <f t="shared" si="2"/>
        <v>1.3933333333333333</v>
      </c>
      <c r="H19" s="5">
        <f t="shared" si="1"/>
        <v>1.397872340425532</v>
      </c>
      <c r="I19" s="5">
        <f t="shared" si="1"/>
        <v>1.4058823529411766</v>
      </c>
      <c r="J19" s="5">
        <f t="shared" si="1"/>
        <v>1.5</v>
      </c>
      <c r="N19" s="1"/>
      <c r="O19" s="1"/>
    </row>
    <row r="20" spans="5:15" x14ac:dyDescent="0.3">
      <c r="E20">
        <v>2.8</v>
      </c>
      <c r="F20" s="4">
        <f t="shared" si="0"/>
        <v>1.4</v>
      </c>
      <c r="G20" s="5">
        <f t="shared" si="2"/>
        <v>1.4874999999999998</v>
      </c>
      <c r="H20" s="5">
        <f t="shared" si="1"/>
        <v>1.492</v>
      </c>
      <c r="I20" s="5">
        <f t="shared" si="1"/>
        <v>1.5</v>
      </c>
      <c r="J20" s="5">
        <f t="shared" si="1"/>
        <v>1.5999999999999999</v>
      </c>
      <c r="N20" s="1"/>
      <c r="O20" s="1"/>
    </row>
    <row r="21" spans="5:15" x14ac:dyDescent="0.3">
      <c r="E21">
        <v>3</v>
      </c>
      <c r="F21" s="4">
        <f t="shared" si="0"/>
        <v>1.5</v>
      </c>
      <c r="G21" s="5">
        <f t="shared" si="2"/>
        <v>1.5823529411764705</v>
      </c>
      <c r="H21" s="5">
        <f t="shared" si="1"/>
        <v>1.5867924528301887</v>
      </c>
      <c r="I21" s="5">
        <f t="shared" si="1"/>
        <v>1.5947368421052632</v>
      </c>
      <c r="J21" s="5">
        <f t="shared" si="1"/>
        <v>1.7</v>
      </c>
      <c r="N21" s="1"/>
      <c r="O2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17" baseType="lpstr">
      <vt:lpstr>var padd</vt:lpstr>
      <vt:lpstr>const padd</vt:lpstr>
      <vt:lpstr>Padd Comparison</vt:lpstr>
      <vt:lpstr>'var padd'!Mmax</vt:lpstr>
      <vt:lpstr>Mmax</vt:lpstr>
      <vt:lpstr>'const padd'!Mo</vt:lpstr>
      <vt:lpstr>Mo</vt:lpstr>
      <vt:lpstr>'const padd'!MoP</vt:lpstr>
      <vt:lpstr>MoP</vt:lpstr>
      <vt:lpstr>MOther</vt:lpstr>
      <vt:lpstr>Mp</vt:lpstr>
      <vt:lpstr>'const padd'!ph</vt:lpstr>
      <vt:lpstr>ph</vt:lpstr>
      <vt:lpstr>'const padd'!po</vt:lpstr>
      <vt:lpstr>po</vt:lpstr>
      <vt:lpstr>'var padd'!Qh</vt:lpstr>
      <vt:lpstr>Qh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Walters</dc:creator>
  <cp:lastModifiedBy>Joe Buszowski</cp:lastModifiedBy>
  <dcterms:created xsi:type="dcterms:W3CDTF">2019-11-26T16:53:33Z</dcterms:created>
  <dcterms:modified xsi:type="dcterms:W3CDTF">2024-01-12T19:27:13Z</dcterms:modified>
</cp:coreProperties>
</file>
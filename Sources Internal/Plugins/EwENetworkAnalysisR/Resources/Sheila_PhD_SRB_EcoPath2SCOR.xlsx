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340" yWindow="900" windowWidth="25260" windowHeight="12320" tabRatio="500"/>
  </bookViews>
  <sheets>
    <sheet name="Main" sheetId="1" r:id="rId1"/>
    <sheet name="OtherData" sheetId="2" r:id="rId2"/>
    <sheet name="Throughflows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4" i="3" l="1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F2" i="1"/>
  <c r="B2" i="3"/>
  <c r="F3" i="1"/>
  <c r="B3" i="3"/>
  <c r="F4" i="1"/>
  <c r="B4" i="3"/>
  <c r="F5" i="1"/>
  <c r="B5" i="3"/>
  <c r="F6" i="1"/>
  <c r="B6" i="3"/>
  <c r="F7" i="1"/>
  <c r="B7" i="3"/>
  <c r="F8" i="1"/>
  <c r="B8" i="3"/>
  <c r="F9" i="1"/>
  <c r="B9" i="3"/>
  <c r="F10" i="1"/>
  <c r="B10" i="3"/>
  <c r="F11" i="1"/>
  <c r="B11" i="3"/>
  <c r="F12" i="1"/>
  <c r="B12" i="3"/>
  <c r="F13" i="1"/>
  <c r="B13" i="3"/>
  <c r="F14" i="1"/>
  <c r="B14" i="3"/>
  <c r="F15" i="1"/>
  <c r="B15" i="3"/>
  <c r="F16" i="1"/>
  <c r="B16" i="3"/>
  <c r="F17" i="1"/>
  <c r="B17" i="3"/>
  <c r="F18" i="1"/>
  <c r="B18" i="3"/>
  <c r="F19" i="1"/>
  <c r="B19" i="3"/>
  <c r="F20" i="1"/>
  <c r="B20" i="3"/>
  <c r="F21" i="1"/>
  <c r="B21" i="3"/>
  <c r="F22" i="1"/>
  <c r="B22" i="3"/>
  <c r="F23" i="1"/>
  <c r="B23" i="3"/>
  <c r="F25" i="1"/>
  <c r="B25" i="3"/>
  <c r="B28" i="3"/>
  <c r="D2" i="1"/>
  <c r="A2" i="3"/>
  <c r="A3" i="3"/>
  <c r="A4" i="3"/>
  <c r="A28" i="3"/>
  <c r="D28" i="3"/>
  <c r="E28" i="3"/>
  <c r="G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" i="3"/>
</calcChain>
</file>

<file path=xl/sharedStrings.xml><?xml version="1.0" encoding="utf-8"?>
<sst xmlns="http://schemas.openxmlformats.org/spreadsheetml/2006/main" count="60" uniqueCount="36">
  <si>
    <t>Phytoplankton</t>
  </si>
  <si>
    <t>Bacteria</t>
  </si>
  <si>
    <t>HMFlagellates</t>
  </si>
  <si>
    <t>Microzoopl</t>
  </si>
  <si>
    <t>Mesozoopl</t>
  </si>
  <si>
    <t>Macrozoopl</t>
  </si>
  <si>
    <t>Ichthyopl</t>
  </si>
  <si>
    <t>Anchovy</t>
  </si>
  <si>
    <t>Pilchard</t>
  </si>
  <si>
    <t>Lanternfish</t>
  </si>
  <si>
    <t>Gobies</t>
  </si>
  <si>
    <t>HMackerel</t>
  </si>
  <si>
    <t>Hake</t>
  </si>
  <si>
    <t>Carni fish</t>
  </si>
  <si>
    <t>Benthic fish</t>
  </si>
  <si>
    <t>Snoek</t>
  </si>
  <si>
    <t>DS crab</t>
  </si>
  <si>
    <t>Squid</t>
  </si>
  <si>
    <t>Jellies</t>
  </si>
  <si>
    <t>Rocklobster</t>
  </si>
  <si>
    <t>Seals</t>
  </si>
  <si>
    <t>Birds</t>
  </si>
  <si>
    <t>DOC</t>
  </si>
  <si>
    <t>Susp POC</t>
  </si>
  <si>
    <t>Group Name</t>
  </si>
  <si>
    <t>Biomass</t>
  </si>
  <si>
    <t>Imports</t>
  </si>
  <si>
    <t>Respirations</t>
  </si>
  <si>
    <t>Exports</t>
  </si>
  <si>
    <t>Fishing mort. rate</t>
  </si>
  <si>
    <t>Production / biomass (/year)</t>
  </si>
  <si>
    <t>Tin</t>
  </si>
  <si>
    <t>Tout</t>
  </si>
  <si>
    <t>Difference</t>
  </si>
  <si>
    <t>TSTput</t>
  </si>
  <si>
    <t>as 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</si>
</sst>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tabSelected="1" topLeftCell="A11" workbookViewId="0">
      <selection activeCell="E24" sqref="E24"/>
    </sheetView>
  </sheetViews>
  <sheetFormatPr baseColWidth="10" defaultRowHeight="15" x14ac:dyDescent="0"/>
  <cols>
    <col min="1" max="1" width="3.1640625" bestFit="1" customWidth="1"/>
    <col min="2" max="2" width="13.1640625" bestFit="1" customWidth="1"/>
    <col min="3" max="3" width="8" bestFit="1" customWidth="1"/>
    <col min="7" max="7" width="13.1640625" bestFit="1" customWidth="1"/>
    <col min="8" max="8" width="8" bestFit="1" customWidth="1"/>
    <col min="9" max="9" width="12.83203125" bestFit="1" customWidth="1"/>
    <col min="10" max="10" width="10.33203125" bestFit="1" customWidth="1"/>
    <col min="11" max="11" width="10.1640625" bestFit="1" customWidth="1"/>
    <col min="13" max="13" width="9.1640625" bestFit="1" customWidth="1"/>
    <col min="14" max="14" width="8.1640625" bestFit="1" customWidth="1"/>
    <col min="15" max="15" width="7.83203125" bestFit="1" customWidth="1"/>
    <col min="16" max="16" width="10.33203125" bestFit="1" customWidth="1"/>
    <col min="17" max="17" width="9.1640625" bestFit="1" customWidth="1"/>
    <col min="18" max="18" width="10" bestFit="1" customWidth="1"/>
    <col min="19" max="19" width="7.1640625" bestFit="1" customWidth="1"/>
    <col min="20" max="20" width="8.83203125" bestFit="1" customWidth="1"/>
    <col min="22" max="22" width="7.1640625" bestFit="1" customWidth="1"/>
    <col min="23" max="24" width="9.1640625" bestFit="1" customWidth="1"/>
    <col min="25" max="25" width="7.1640625" bestFit="1" customWidth="1"/>
    <col min="26" max="26" width="11.1640625" bestFit="1" customWidth="1"/>
    <col min="27" max="27" width="8.1640625" bestFit="1" customWidth="1"/>
    <col min="28" max="29" width="9.1640625" bestFit="1" customWidth="1"/>
    <col min="30" max="30" width="10.1640625" bestFit="1" customWidth="1"/>
  </cols>
  <sheetData>
    <row r="1" spans="1:30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</row>
    <row r="2" spans="1:30">
      <c r="A2">
        <v>1</v>
      </c>
      <c r="B2" t="s">
        <v>0</v>
      </c>
      <c r="C2">
        <v>14300</v>
      </c>
      <c r="D2">
        <f>C2*OtherData!B2</f>
        <v>1186.9000000000001</v>
      </c>
      <c r="E2">
        <v>0</v>
      </c>
      <c r="F2">
        <f>C2*OtherData!A2</f>
        <v>0</v>
      </c>
      <c r="G2">
        <v>0</v>
      </c>
      <c r="H2">
        <v>0</v>
      </c>
      <c r="I2">
        <v>0</v>
      </c>
      <c r="J2">
        <v>0</v>
      </c>
      <c r="K2">
        <v>301.49</v>
      </c>
      <c r="L2">
        <v>41.76</v>
      </c>
      <c r="M2">
        <v>5.9999999999999995E-4</v>
      </c>
      <c r="N2">
        <v>1.2294419999999999</v>
      </c>
      <c r="O2">
        <v>5.4360900000000001</v>
      </c>
      <c r="P2">
        <v>0</v>
      </c>
      <c r="Q2">
        <v>5.3087299999999997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112.64</v>
      </c>
      <c r="Z2">
        <v>0</v>
      </c>
      <c r="AA2">
        <v>0</v>
      </c>
      <c r="AB2">
        <v>0</v>
      </c>
      <c r="AC2">
        <v>296.9615</v>
      </c>
      <c r="AD2">
        <v>422.0736</v>
      </c>
    </row>
    <row r="3" spans="1:30">
      <c r="A3">
        <v>2</v>
      </c>
      <c r="B3" t="s">
        <v>1</v>
      </c>
      <c r="C3">
        <v>2500</v>
      </c>
      <c r="D3">
        <v>0</v>
      </c>
      <c r="E3">
        <v>286.25</v>
      </c>
      <c r="F3">
        <f>C3*OtherData!A3</f>
        <v>0</v>
      </c>
      <c r="G3">
        <v>0</v>
      </c>
      <c r="H3">
        <v>0</v>
      </c>
      <c r="I3">
        <v>277.2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137.15199999999999</v>
      </c>
      <c r="AD3">
        <v>674.3981</v>
      </c>
    </row>
    <row r="4" spans="1:30">
      <c r="A4">
        <v>3</v>
      </c>
      <c r="B4" t="s">
        <v>2</v>
      </c>
      <c r="C4">
        <v>1650</v>
      </c>
      <c r="D4">
        <v>0</v>
      </c>
      <c r="E4">
        <v>74.349000000000004</v>
      </c>
      <c r="F4">
        <f>C4*OtherData!A4</f>
        <v>0</v>
      </c>
      <c r="G4">
        <v>0</v>
      </c>
      <c r="H4">
        <v>0</v>
      </c>
      <c r="I4">
        <v>0</v>
      </c>
      <c r="J4">
        <v>111.3329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91.518140000000002</v>
      </c>
    </row>
    <row r="5" spans="1:30">
      <c r="A5">
        <v>4</v>
      </c>
      <c r="B5" t="s">
        <v>3</v>
      </c>
      <c r="C5">
        <v>90</v>
      </c>
      <c r="D5">
        <v>0</v>
      </c>
      <c r="E5">
        <v>90.648899999999998</v>
      </c>
      <c r="F5">
        <f>C5*OtherData!A5</f>
        <v>0</v>
      </c>
      <c r="G5">
        <v>0</v>
      </c>
      <c r="H5">
        <v>0</v>
      </c>
      <c r="I5">
        <v>0</v>
      </c>
      <c r="J5">
        <v>0</v>
      </c>
      <c r="K5">
        <v>63.51</v>
      </c>
      <c r="L5">
        <v>0</v>
      </c>
      <c r="M5">
        <v>0</v>
      </c>
      <c r="N5">
        <v>0.43152600000000002</v>
      </c>
      <c r="O5">
        <v>1.9017900000000001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6.8307229999999999</v>
      </c>
      <c r="Z5">
        <v>0</v>
      </c>
      <c r="AA5">
        <v>0</v>
      </c>
      <c r="AB5">
        <v>0</v>
      </c>
      <c r="AC5">
        <v>0</v>
      </c>
      <c r="AD5">
        <v>38.367060000000002</v>
      </c>
    </row>
    <row r="6" spans="1:30">
      <c r="A6">
        <v>5</v>
      </c>
      <c r="B6" t="s">
        <v>4</v>
      </c>
      <c r="C6">
        <v>1000</v>
      </c>
      <c r="D6">
        <v>0</v>
      </c>
      <c r="E6">
        <v>215</v>
      </c>
      <c r="F6">
        <f>C6*OtherData!A6</f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27.84</v>
      </c>
      <c r="M6">
        <v>0</v>
      </c>
      <c r="N6">
        <v>3.240516</v>
      </c>
      <c r="O6">
        <v>4.7460599999999999</v>
      </c>
      <c r="P6">
        <v>4.2484000000000002</v>
      </c>
      <c r="Q6">
        <v>0</v>
      </c>
      <c r="R6">
        <v>20.218820000000001</v>
      </c>
      <c r="S6">
        <v>3.7319040000000001</v>
      </c>
      <c r="T6">
        <v>2.0276999999999998</v>
      </c>
      <c r="U6">
        <v>0</v>
      </c>
      <c r="V6">
        <v>0</v>
      </c>
      <c r="W6">
        <v>0</v>
      </c>
      <c r="X6">
        <v>0</v>
      </c>
      <c r="Y6">
        <v>10.44699</v>
      </c>
      <c r="Z6">
        <v>0</v>
      </c>
      <c r="AA6">
        <v>0</v>
      </c>
      <c r="AB6">
        <v>7.7999999999999999E-4</v>
      </c>
      <c r="AC6">
        <v>0</v>
      </c>
      <c r="AD6">
        <v>73.498819999999995</v>
      </c>
    </row>
    <row r="7" spans="1:30">
      <c r="A7">
        <v>6</v>
      </c>
      <c r="B7" t="s">
        <v>5</v>
      </c>
      <c r="C7">
        <v>800</v>
      </c>
      <c r="D7">
        <v>0</v>
      </c>
      <c r="E7">
        <v>34.921999999999997</v>
      </c>
      <c r="F7">
        <f>C7*OtherData!A7</f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3.240516</v>
      </c>
      <c r="O7">
        <v>4.7460599999999999</v>
      </c>
      <c r="P7">
        <v>6.3726000000000003</v>
      </c>
      <c r="Q7">
        <v>0.55727000000000004</v>
      </c>
      <c r="R7">
        <v>5.2666550000000001</v>
      </c>
      <c r="S7">
        <v>0.96854399999999996</v>
      </c>
      <c r="T7">
        <v>0.52649999999999997</v>
      </c>
      <c r="U7">
        <v>0</v>
      </c>
      <c r="V7">
        <v>1.249433</v>
      </c>
      <c r="W7">
        <v>0</v>
      </c>
      <c r="X7">
        <v>2.4680810000000002</v>
      </c>
      <c r="Y7">
        <v>2.678715</v>
      </c>
      <c r="Z7">
        <v>0</v>
      </c>
      <c r="AA7">
        <v>0</v>
      </c>
      <c r="AB7">
        <v>1.1180000000000001E-2</v>
      </c>
      <c r="AC7">
        <v>0</v>
      </c>
      <c r="AD7">
        <v>6.5924440000000004</v>
      </c>
    </row>
    <row r="8" spans="1:30">
      <c r="A8">
        <v>7</v>
      </c>
      <c r="B8" t="s">
        <v>6</v>
      </c>
      <c r="C8">
        <v>0.2</v>
      </c>
      <c r="D8">
        <v>0</v>
      </c>
      <c r="E8" s="1">
        <v>6.9999990000000007E-5</v>
      </c>
      <c r="F8">
        <f>C8*OtherData!A8</f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5.2999999999999998E-4</v>
      </c>
    </row>
    <row r="9" spans="1:30">
      <c r="A9">
        <v>8</v>
      </c>
      <c r="B9" t="s">
        <v>7</v>
      </c>
      <c r="C9">
        <v>118</v>
      </c>
      <c r="D9">
        <v>0</v>
      </c>
      <c r="E9">
        <v>2.17544</v>
      </c>
      <c r="F9">
        <f>C9*OtherData!A9</f>
        <v>7.70000032E-2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2.7359999999999999E-2</v>
      </c>
      <c r="T9">
        <v>1.6199999999999999E-2</v>
      </c>
      <c r="U9">
        <v>0</v>
      </c>
      <c r="V9">
        <v>3.5105400000000002E-2</v>
      </c>
      <c r="W9">
        <v>0</v>
      </c>
      <c r="X9">
        <v>0</v>
      </c>
      <c r="Y9">
        <v>0</v>
      </c>
      <c r="Z9">
        <v>0</v>
      </c>
      <c r="AA9">
        <v>0.27634799999999998</v>
      </c>
      <c r="AB9">
        <v>5.7200000000000001E-2</v>
      </c>
      <c r="AC9">
        <v>0</v>
      </c>
      <c r="AD9">
        <v>5.4773459999999998</v>
      </c>
    </row>
    <row r="10" spans="1:30">
      <c r="A10">
        <v>9</v>
      </c>
      <c r="B10" t="s">
        <v>8</v>
      </c>
      <c r="C10">
        <v>255</v>
      </c>
      <c r="D10">
        <v>0</v>
      </c>
      <c r="E10">
        <v>10.2598</v>
      </c>
      <c r="F10">
        <f>C10*OtherData!A10</f>
        <v>0.16499999400000001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5.4719999999999998E-2</v>
      </c>
      <c r="T10">
        <v>2.9700000000000001E-2</v>
      </c>
      <c r="U10">
        <v>0</v>
      </c>
      <c r="V10">
        <v>7.3402200000000001E-2</v>
      </c>
      <c r="W10">
        <v>0</v>
      </c>
      <c r="X10">
        <v>0</v>
      </c>
      <c r="Y10">
        <v>0</v>
      </c>
      <c r="Z10">
        <v>0</v>
      </c>
      <c r="AA10">
        <v>0.57684279999999999</v>
      </c>
      <c r="AB10">
        <v>2.8600000000000001E-3</v>
      </c>
      <c r="AC10">
        <v>0</v>
      </c>
      <c r="AD10">
        <v>5.667675</v>
      </c>
    </row>
    <row r="11" spans="1:30">
      <c r="A11">
        <v>10</v>
      </c>
      <c r="B11" t="s">
        <v>9</v>
      </c>
      <c r="C11">
        <v>559</v>
      </c>
      <c r="D11">
        <v>0</v>
      </c>
      <c r="E11">
        <v>4.9003399999999999</v>
      </c>
      <c r="F11">
        <f>C11*OtherData!A11</f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0.20552799999999999</v>
      </c>
      <c r="S11">
        <v>3.8303999999999998E-2</v>
      </c>
      <c r="T11">
        <v>1.89E-2</v>
      </c>
      <c r="U11">
        <v>0</v>
      </c>
      <c r="V11">
        <v>4.6275299999999998E-2</v>
      </c>
      <c r="W11">
        <v>0</v>
      </c>
      <c r="X11">
        <v>9.2785000000000006E-2</v>
      </c>
      <c r="Y11">
        <v>0</v>
      </c>
      <c r="Z11">
        <v>0</v>
      </c>
      <c r="AA11">
        <v>0.36488670000000001</v>
      </c>
      <c r="AB11">
        <v>1.3780000000000001E-2</v>
      </c>
      <c r="AC11">
        <v>0</v>
      </c>
      <c r="AD11">
        <v>4.9402010000000001</v>
      </c>
    </row>
    <row r="12" spans="1:30">
      <c r="A12">
        <v>11</v>
      </c>
      <c r="B12" t="s">
        <v>10</v>
      </c>
      <c r="C12">
        <v>419</v>
      </c>
      <c r="D12">
        <v>0</v>
      </c>
      <c r="E12">
        <v>2.3680400000000001</v>
      </c>
      <c r="F12">
        <f>C12*OtherData!A12</f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2.1888000000000001E-2</v>
      </c>
      <c r="T12">
        <v>1.0800000000000001E-2</v>
      </c>
      <c r="U12">
        <v>0</v>
      </c>
      <c r="V12">
        <v>2.55312E-2</v>
      </c>
      <c r="W12">
        <v>0</v>
      </c>
      <c r="X12">
        <v>0</v>
      </c>
      <c r="Y12">
        <v>0</v>
      </c>
      <c r="Z12">
        <v>0</v>
      </c>
      <c r="AA12">
        <v>0.20122429999999999</v>
      </c>
      <c r="AB12">
        <v>0.12142</v>
      </c>
      <c r="AC12">
        <v>0</v>
      </c>
      <c r="AD12">
        <v>3.1170969999999998</v>
      </c>
    </row>
    <row r="13" spans="1:30">
      <c r="A13">
        <v>12</v>
      </c>
      <c r="B13" t="s">
        <v>11</v>
      </c>
      <c r="C13">
        <v>1117</v>
      </c>
      <c r="D13">
        <v>0</v>
      </c>
      <c r="E13">
        <v>11.04386</v>
      </c>
      <c r="F13">
        <f>C13*OtherData!A13</f>
        <v>0.69899994609999994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8.7552000000000005E-2</v>
      </c>
      <c r="T13">
        <v>4.8599999999999997E-2</v>
      </c>
      <c r="U13">
        <v>0</v>
      </c>
      <c r="V13">
        <v>0.1148904</v>
      </c>
      <c r="W13">
        <v>0</v>
      </c>
      <c r="X13">
        <v>0</v>
      </c>
      <c r="Y13">
        <v>0</v>
      </c>
      <c r="Z13">
        <v>0</v>
      </c>
      <c r="AA13">
        <v>0.89075260000000001</v>
      </c>
      <c r="AB13">
        <v>1.2999999999999999E-3</v>
      </c>
      <c r="AC13">
        <v>0</v>
      </c>
      <c r="AD13">
        <v>12.80505</v>
      </c>
    </row>
    <row r="14" spans="1:30">
      <c r="A14">
        <v>13</v>
      </c>
      <c r="B14" t="s">
        <v>12</v>
      </c>
      <c r="C14">
        <v>456</v>
      </c>
      <c r="D14">
        <v>0</v>
      </c>
      <c r="E14">
        <v>0.5457997</v>
      </c>
      <c r="F14">
        <f>C14*OtherData!A14</f>
        <v>0.1749999864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1.6416E-2</v>
      </c>
      <c r="T14">
        <v>8.0999999999999996E-3</v>
      </c>
      <c r="U14">
        <v>0</v>
      </c>
      <c r="V14">
        <v>1.9148399999999999E-2</v>
      </c>
      <c r="W14">
        <v>0</v>
      </c>
      <c r="X14">
        <v>3.7114000000000001E-2</v>
      </c>
      <c r="Y14">
        <v>0</v>
      </c>
      <c r="Z14">
        <v>0</v>
      </c>
      <c r="AA14">
        <v>0.1502474</v>
      </c>
      <c r="AB14">
        <v>2.6780000000000002E-2</v>
      </c>
      <c r="AC14">
        <v>0</v>
      </c>
      <c r="AD14">
        <v>4.4933940000000003</v>
      </c>
    </row>
    <row r="15" spans="1:30">
      <c r="A15">
        <v>14</v>
      </c>
      <c r="B15" t="s">
        <v>13</v>
      </c>
      <c r="C15">
        <v>225</v>
      </c>
      <c r="D15">
        <v>0</v>
      </c>
      <c r="E15">
        <v>0.27029989999999998</v>
      </c>
      <c r="F15">
        <f>C15*OtherData!A15</f>
        <v>3.8999992500000004E-2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5.4720000000000003E-3</v>
      </c>
      <c r="T15">
        <v>2.7000000000000001E-3</v>
      </c>
      <c r="U15">
        <v>0</v>
      </c>
      <c r="V15">
        <v>9.5741999999999997E-3</v>
      </c>
      <c r="W15">
        <v>0</v>
      </c>
      <c r="X15">
        <v>1.8557000000000001E-2</v>
      </c>
      <c r="Y15">
        <v>0</v>
      </c>
      <c r="Z15">
        <v>0</v>
      </c>
      <c r="AA15">
        <v>7.5123720000000005E-2</v>
      </c>
      <c r="AB15">
        <v>1.17E-2</v>
      </c>
      <c r="AC15">
        <v>0</v>
      </c>
      <c r="AD15">
        <v>2.2675730000000001</v>
      </c>
    </row>
    <row r="16" spans="1:30">
      <c r="A16">
        <v>15</v>
      </c>
      <c r="B16" t="s">
        <v>14</v>
      </c>
      <c r="C16">
        <v>126.6</v>
      </c>
      <c r="D16">
        <v>1.5192000000000001</v>
      </c>
      <c r="E16">
        <v>0.15887989999999999</v>
      </c>
      <c r="F16">
        <f>C16*OtherData!A16</f>
        <v>9.9999998040000001E-4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5.4720000000000003E-3</v>
      </c>
      <c r="T16">
        <v>2.7000000000000001E-3</v>
      </c>
      <c r="U16">
        <v>0</v>
      </c>
      <c r="V16">
        <v>4.7870999999999999E-3</v>
      </c>
      <c r="W16">
        <v>0</v>
      </c>
      <c r="X16">
        <v>1.0604000000000001E-2</v>
      </c>
      <c r="Y16">
        <v>0</v>
      </c>
      <c r="Z16">
        <v>0</v>
      </c>
      <c r="AA16">
        <v>4.2927840000000002E-2</v>
      </c>
      <c r="AB16">
        <v>0</v>
      </c>
      <c r="AC16">
        <v>0</v>
      </c>
      <c r="AD16">
        <v>1.292829</v>
      </c>
    </row>
    <row r="17" spans="1:30">
      <c r="A17">
        <v>16</v>
      </c>
      <c r="B17" t="s">
        <v>15</v>
      </c>
      <c r="C17">
        <v>59.1</v>
      </c>
      <c r="D17">
        <v>0</v>
      </c>
      <c r="E17">
        <v>1.2362599999999999</v>
      </c>
      <c r="F17">
        <f>C17*OtherData!A17</f>
        <v>2.0000001449999999E-3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1.073196E-2</v>
      </c>
      <c r="AB17">
        <v>7.7999999999999999E-4</v>
      </c>
      <c r="AC17">
        <v>0</v>
      </c>
      <c r="AD17">
        <v>0.34592800000000001</v>
      </c>
    </row>
    <row r="18" spans="1:30">
      <c r="A18">
        <v>17</v>
      </c>
      <c r="B18" t="s">
        <v>16</v>
      </c>
      <c r="C18">
        <v>14.4</v>
      </c>
      <c r="D18">
        <v>0.33119999999999999</v>
      </c>
      <c r="E18">
        <v>0.30625200000000002</v>
      </c>
      <c r="F18">
        <f>C18*OtherData!A18</f>
        <v>4.0000003199999997E-3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5.4720000000000003E-3</v>
      </c>
      <c r="T18">
        <v>2.7000000000000001E-3</v>
      </c>
      <c r="U18">
        <v>0</v>
      </c>
      <c r="V18">
        <v>4.7870999999999999E-3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7.9889000000000002E-3</v>
      </c>
    </row>
    <row r="19" spans="1:30">
      <c r="A19">
        <v>18</v>
      </c>
      <c r="B19" t="s">
        <v>17</v>
      </c>
      <c r="C19">
        <v>11</v>
      </c>
      <c r="D19">
        <v>0</v>
      </c>
      <c r="E19">
        <v>1.7007000000000001</v>
      </c>
      <c r="F19">
        <f>C19*OtherData!A19</f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1.0944000000000001E-2</v>
      </c>
      <c r="T19">
        <v>5.4000000000000003E-3</v>
      </c>
      <c r="U19">
        <v>0</v>
      </c>
      <c r="V19">
        <v>1.27656E-2</v>
      </c>
      <c r="W19">
        <v>0</v>
      </c>
      <c r="X19">
        <v>2.3859000000000002E-2</v>
      </c>
      <c r="Y19">
        <v>0</v>
      </c>
      <c r="Z19">
        <v>0</v>
      </c>
      <c r="AA19">
        <v>9.3904650000000006E-2</v>
      </c>
      <c r="AB19">
        <v>1.1440000000000001E-2</v>
      </c>
      <c r="AC19">
        <v>0</v>
      </c>
      <c r="AD19">
        <v>0.79198679999999999</v>
      </c>
    </row>
    <row r="20" spans="1:30">
      <c r="A20">
        <v>19</v>
      </c>
      <c r="B20" t="s">
        <v>18</v>
      </c>
      <c r="C20">
        <v>595.27</v>
      </c>
      <c r="D20">
        <v>0</v>
      </c>
      <c r="E20">
        <v>88.040700000000001</v>
      </c>
      <c r="F20">
        <f>C20*OtherData!A20</f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0.49795200000000001</v>
      </c>
      <c r="T20">
        <v>0</v>
      </c>
      <c r="U20">
        <v>0</v>
      </c>
      <c r="V20">
        <v>0</v>
      </c>
      <c r="W20">
        <v>0</v>
      </c>
      <c r="X20">
        <v>0</v>
      </c>
      <c r="Y20">
        <v>1.3393569999999999</v>
      </c>
      <c r="Z20">
        <v>0</v>
      </c>
      <c r="AA20">
        <v>0</v>
      </c>
      <c r="AB20">
        <v>0</v>
      </c>
      <c r="AC20">
        <v>9.0318360000000002</v>
      </c>
      <c r="AD20">
        <v>35.0259</v>
      </c>
    </row>
    <row r="21" spans="1:30">
      <c r="A21">
        <v>20</v>
      </c>
      <c r="B21" t="s">
        <v>19</v>
      </c>
      <c r="C21">
        <v>0.6</v>
      </c>
      <c r="D21">
        <v>3.5999999999999999E-3</v>
      </c>
      <c r="E21">
        <v>8.3600009999999997E-4</v>
      </c>
      <c r="F21">
        <f>C21*OtherData!A21</f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2.764E-3</v>
      </c>
    </row>
    <row r="22" spans="1:30">
      <c r="A22">
        <v>21</v>
      </c>
      <c r="B22" t="s">
        <v>20</v>
      </c>
      <c r="C22">
        <v>47.07</v>
      </c>
      <c r="D22">
        <v>0</v>
      </c>
      <c r="E22">
        <v>1.2886519999999999</v>
      </c>
      <c r="F22">
        <f>C22*OtherData!A22</f>
        <v>2.0000000637000002E-3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5.1999999999999995E-4</v>
      </c>
      <c r="AC22">
        <v>0</v>
      </c>
      <c r="AD22">
        <v>1.391818</v>
      </c>
    </row>
    <row r="23" spans="1:30">
      <c r="A23">
        <v>22</v>
      </c>
      <c r="B23" t="s">
        <v>21</v>
      </c>
      <c r="C23">
        <v>1</v>
      </c>
      <c r="D23">
        <v>0</v>
      </c>
      <c r="E23">
        <v>0.19474</v>
      </c>
      <c r="F23">
        <f>C23*OtherData!A23</f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2.5999999999999998E-4</v>
      </c>
      <c r="AC23">
        <v>0</v>
      </c>
      <c r="AD23">
        <v>6.5000000000000002E-2</v>
      </c>
    </row>
    <row r="24" spans="1:30">
      <c r="A24">
        <v>23</v>
      </c>
      <c r="B24" t="s">
        <v>22</v>
      </c>
      <c r="C24">
        <v>206250</v>
      </c>
      <c r="D24">
        <v>0</v>
      </c>
      <c r="E24">
        <v>361.92930000000001</v>
      </c>
      <c r="F24">
        <v>0</v>
      </c>
      <c r="G24">
        <v>0</v>
      </c>
      <c r="H24">
        <v>1375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>
        <v>24</v>
      </c>
      <c r="B25" t="s">
        <v>23</v>
      </c>
      <c r="C25">
        <v>8805</v>
      </c>
      <c r="D25">
        <v>0</v>
      </c>
      <c r="E25">
        <v>1E-4</v>
      </c>
      <c r="F25">
        <f>C25*OtherData!A25</f>
        <v>0</v>
      </c>
      <c r="G25">
        <v>0</v>
      </c>
      <c r="H25">
        <v>0</v>
      </c>
      <c r="I25">
        <v>0</v>
      </c>
      <c r="J25">
        <v>90.357119999999995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1293.7840000000001</v>
      </c>
      <c r="AD25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B2" sqref="B2:B24"/>
    </sheetView>
  </sheetViews>
  <sheetFormatPr baseColWidth="10" defaultRowHeight="15" x14ac:dyDescent="0"/>
  <cols>
    <col min="1" max="1" width="15.6640625" bestFit="1" customWidth="1"/>
  </cols>
  <sheetData>
    <row r="1" spans="1:2">
      <c r="A1" t="s">
        <v>29</v>
      </c>
      <c r="B1" t="s">
        <v>30</v>
      </c>
    </row>
    <row r="2" spans="1:2">
      <c r="A2">
        <v>0</v>
      </c>
      <c r="B2">
        <v>8.3000000000000004E-2</v>
      </c>
    </row>
    <row r="3" spans="1:2">
      <c r="A3">
        <v>0</v>
      </c>
      <c r="B3">
        <v>0.16600000000000001</v>
      </c>
    </row>
    <row r="4" spans="1:2">
      <c r="A4">
        <v>0</v>
      </c>
      <c r="B4">
        <v>6.7500000000000004E-2</v>
      </c>
    </row>
    <row r="5" spans="1:2">
      <c r="A5">
        <v>0</v>
      </c>
      <c r="B5">
        <v>0.80800000000000005</v>
      </c>
    </row>
    <row r="6" spans="1:2">
      <c r="A6">
        <v>0</v>
      </c>
      <c r="B6">
        <v>0.11</v>
      </c>
    </row>
    <row r="7" spans="1:2">
      <c r="A7">
        <v>0</v>
      </c>
      <c r="B7">
        <v>3.5999999999999997E-2</v>
      </c>
    </row>
    <row r="8" spans="1:2">
      <c r="A8">
        <v>0</v>
      </c>
      <c r="B8">
        <v>1E-3</v>
      </c>
    </row>
    <row r="9" spans="1:2">
      <c r="A9">
        <v>6.5254240000000002E-4</v>
      </c>
      <c r="B9">
        <v>7.0000000000000001E-3</v>
      </c>
    </row>
    <row r="10" spans="1:2">
      <c r="A10">
        <v>6.470588E-4</v>
      </c>
      <c r="B10">
        <v>7.0000000000000001E-3</v>
      </c>
    </row>
    <row r="11" spans="1:2">
      <c r="A11">
        <v>0</v>
      </c>
      <c r="B11">
        <v>2E-3</v>
      </c>
    </row>
    <row r="12" spans="1:2">
      <c r="A12">
        <v>0</v>
      </c>
      <c r="B12">
        <v>1E-3</v>
      </c>
    </row>
    <row r="13" spans="1:2">
      <c r="A13">
        <v>6.2578329999999998E-4</v>
      </c>
      <c r="B13">
        <v>2E-3</v>
      </c>
    </row>
    <row r="14" spans="1:2">
      <c r="A14">
        <v>3.8377190000000002E-4</v>
      </c>
      <c r="B14">
        <v>1E-3</v>
      </c>
    </row>
    <row r="15" spans="1:2">
      <c r="A15">
        <v>1.7333330000000001E-4</v>
      </c>
      <c r="B15">
        <v>1E-3</v>
      </c>
    </row>
    <row r="16" spans="1:2">
      <c r="A16" s="1">
        <v>7.8988940000000001E-6</v>
      </c>
      <c r="B16">
        <v>1E-3</v>
      </c>
    </row>
    <row r="17" spans="1:2">
      <c r="A17" s="1">
        <v>3.384095E-5</v>
      </c>
      <c r="B17">
        <v>1E-3</v>
      </c>
    </row>
    <row r="18" spans="1:2">
      <c r="A18">
        <v>2.777778E-4</v>
      </c>
      <c r="B18">
        <v>7.0000000000000001E-3</v>
      </c>
    </row>
    <row r="19" spans="1:2">
      <c r="A19">
        <v>0</v>
      </c>
      <c r="B19">
        <v>2.5000000000000001E-2</v>
      </c>
    </row>
    <row r="20" spans="1:2">
      <c r="A20">
        <v>0</v>
      </c>
      <c r="B20">
        <v>2.5000000000000001E-2</v>
      </c>
    </row>
    <row r="21" spans="1:2">
      <c r="A21">
        <v>0</v>
      </c>
      <c r="B21">
        <v>1E-3</v>
      </c>
    </row>
    <row r="22" spans="1:2">
      <c r="A22" s="1">
        <v>4.2489910000000002E-5</v>
      </c>
      <c r="B22" s="1">
        <v>5.7000000000000003E-5</v>
      </c>
    </row>
    <row r="23" spans="1:2">
      <c r="A23">
        <v>0</v>
      </c>
      <c r="B23">
        <v>2.5999999999999998E-4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4" workbookViewId="0">
      <selection activeCell="E28" sqref="E28"/>
    </sheetView>
  </sheetViews>
  <sheetFormatPr baseColWidth="10" defaultRowHeight="15" x14ac:dyDescent="0"/>
  <sheetData>
    <row r="1" spans="1:7">
      <c r="A1" t="s">
        <v>31</v>
      </c>
      <c r="B1" t="s">
        <v>32</v>
      </c>
      <c r="D1" t="s">
        <v>33</v>
      </c>
    </row>
    <row r="2" spans="1:7">
      <c r="A2">
        <f>SUM(Main!G2:G25)+Main!D2</f>
        <v>1186.9000000000001</v>
      </c>
      <c r="B2">
        <f>SUM(Main!E2:AD2)</f>
        <v>1186.899962</v>
      </c>
      <c r="D2" s="2">
        <f>A2-B2</f>
        <v>3.8000000131432898E-5</v>
      </c>
      <c r="F2" t="s">
        <v>34</v>
      </c>
      <c r="G2">
        <f>SUM(B2:B25)+SUM(Main!D2:D25)</f>
        <v>8003.5166479928012</v>
      </c>
    </row>
    <row r="3" spans="1:7">
      <c r="A3">
        <f>SUM(Main!H$2:H$25)+Main!D3</f>
        <v>1375</v>
      </c>
      <c r="B3">
        <f>SUM(Main!E3:AD3)</f>
        <v>1375.0001000000002</v>
      </c>
      <c r="D3" s="2">
        <f t="shared" ref="D3:D25" si="0">A3-B3</f>
        <v>-1.0000000020227162E-4</v>
      </c>
    </row>
    <row r="4" spans="1:7">
      <c r="A4">
        <f>SUM(Main!I$2:I$25)+Main!D4</f>
        <v>277.2</v>
      </c>
      <c r="B4">
        <f>SUM(Main!E4:AD4)</f>
        <v>277.20004</v>
      </c>
      <c r="D4" s="2">
        <f t="shared" si="0"/>
        <v>-4.0000000012696546E-5</v>
      </c>
    </row>
    <row r="5" spans="1:7">
      <c r="A5">
        <f>SUM(Main!J$2:J$25)+Main!D5</f>
        <v>201.69002</v>
      </c>
      <c r="B5">
        <f>SUM(Main!E5:AD5)</f>
        <v>201.689999</v>
      </c>
      <c r="D5" s="2">
        <f t="shared" si="0"/>
        <v>2.1000000003823516E-5</v>
      </c>
    </row>
    <row r="6" spans="1:7">
      <c r="A6">
        <f>SUM(Main!K$2:K$25)+Main!D6</f>
        <v>365</v>
      </c>
      <c r="B6">
        <f>SUM(Main!E6:AD6)</f>
        <v>364.99999000000003</v>
      </c>
      <c r="D6" s="2">
        <f t="shared" si="0"/>
        <v>9.9999999747524271E-6</v>
      </c>
    </row>
    <row r="7" spans="1:7">
      <c r="A7">
        <f>SUM(Main!L$2:L$25)+Main!D7</f>
        <v>69.599999999999994</v>
      </c>
      <c r="B7">
        <f>SUM(Main!E7:AD7)</f>
        <v>69.599997999999999</v>
      </c>
      <c r="D7" s="2">
        <f t="shared" si="0"/>
        <v>1.9999999949504854E-6</v>
      </c>
    </row>
    <row r="8" spans="1:7">
      <c r="A8">
        <f>SUM(Main!M$2:M$25)+Main!D8</f>
        <v>5.9999999999999995E-4</v>
      </c>
      <c r="B8">
        <f>SUM(Main!E8:AD8)</f>
        <v>5.9999998999999999E-4</v>
      </c>
      <c r="D8" s="2">
        <f t="shared" si="0"/>
        <v>9.999999960041972E-12</v>
      </c>
    </row>
    <row r="9" spans="1:7">
      <c r="A9">
        <f>SUM(Main!N$2:N$25)+Main!D9</f>
        <v>8.1419999999999995</v>
      </c>
      <c r="B9">
        <f>SUM(Main!E9:AD9)</f>
        <v>8.1419994031999998</v>
      </c>
      <c r="D9" s="2">
        <f t="shared" si="0"/>
        <v>5.9679999964146191E-7</v>
      </c>
    </row>
    <row r="10" spans="1:7">
      <c r="A10">
        <f>SUM(Main!O$2:O$25)+Main!D10</f>
        <v>16.829999999999998</v>
      </c>
      <c r="B10">
        <f>SUM(Main!E10:AD10)</f>
        <v>16.829999994000001</v>
      </c>
      <c r="D10" s="2">
        <f t="shared" si="0"/>
        <v>5.9999969437285472E-9</v>
      </c>
    </row>
    <row r="11" spans="1:7">
      <c r="A11">
        <f>SUM(Main!P$2:P$25)+Main!D11</f>
        <v>10.621</v>
      </c>
      <c r="B11">
        <f>SUM(Main!E11:AD11)</f>
        <v>10.620999999999999</v>
      </c>
      <c r="D11" s="2">
        <f t="shared" si="0"/>
        <v>0</v>
      </c>
    </row>
    <row r="12" spans="1:7">
      <c r="A12">
        <f>SUM(Main!Q$2:Q$25)+Main!D12</f>
        <v>5.8659999999999997</v>
      </c>
      <c r="B12">
        <f>SUM(Main!E12:AD12)</f>
        <v>5.8660005000000002</v>
      </c>
      <c r="D12" s="2">
        <f t="shared" si="0"/>
        <v>-5.0000000051397819E-7</v>
      </c>
    </row>
    <row r="13" spans="1:7">
      <c r="A13">
        <f>SUM(Main!R$2:R$25)+Main!D13</f>
        <v>25.691003000000002</v>
      </c>
      <c r="B13">
        <f>SUM(Main!E13:AD13)</f>
        <v>25.691004946100001</v>
      </c>
      <c r="D13" s="2">
        <f t="shared" si="0"/>
        <v>-1.9460999993725636E-6</v>
      </c>
    </row>
    <row r="14" spans="1:7">
      <c r="A14">
        <f>SUM(Main!S$2:S$25)+Main!D14</f>
        <v>5.4719999999999995</v>
      </c>
      <c r="B14">
        <f>SUM(Main!E14:AD14)</f>
        <v>5.4719994864000006</v>
      </c>
      <c r="D14" s="2">
        <f t="shared" si="0"/>
        <v>5.1359999897471198E-7</v>
      </c>
    </row>
    <row r="15" spans="1:7">
      <c r="A15">
        <f>SUM(Main!T$2:T$25)+Main!D15</f>
        <v>2.6999999999999997</v>
      </c>
      <c r="B15">
        <f>SUM(Main!E15:AD15)</f>
        <v>2.6999998124999998</v>
      </c>
      <c r="D15" s="2">
        <f t="shared" si="0"/>
        <v>1.8749999997069722E-7</v>
      </c>
    </row>
    <row r="16" spans="1:7">
      <c r="A16">
        <f>SUM(Main!U$2:U$25)+Main!D16</f>
        <v>1.5192000000000001</v>
      </c>
      <c r="B16">
        <f>SUM(Main!E16:AD16)</f>
        <v>1.5191998399804001</v>
      </c>
      <c r="D16" s="2">
        <f t="shared" si="0"/>
        <v>1.600196000151044E-7</v>
      </c>
    </row>
    <row r="17" spans="1:5">
      <c r="A17">
        <f>SUM(Main!V$2:V$25)+Main!D17</f>
        <v>1.5956999000000001</v>
      </c>
      <c r="B17">
        <f>SUM(Main!E17:AD17)</f>
        <v>1.5956999601449999</v>
      </c>
      <c r="D17" s="2">
        <f t="shared" si="0"/>
        <v>-6.01449998693937E-8</v>
      </c>
    </row>
    <row r="18" spans="1:5">
      <c r="A18">
        <f>SUM(Main!W$2:W$25)+Main!D18</f>
        <v>0.33119999999999999</v>
      </c>
      <c r="B18">
        <f>SUM(Main!E18:AD18)</f>
        <v>0.33120000031999997</v>
      </c>
      <c r="D18" s="2">
        <f t="shared" si="0"/>
        <v>-3.1999997096576749E-10</v>
      </c>
    </row>
    <row r="19" spans="1:5">
      <c r="A19">
        <f>SUM(Main!X$2:X$25)+Main!D19</f>
        <v>2.6509999999999998</v>
      </c>
      <c r="B19">
        <f>SUM(Main!E19:AD19)</f>
        <v>2.6510000500000004</v>
      </c>
      <c r="D19" s="2">
        <f t="shared" si="0"/>
        <v>-5.0000000584304871E-8</v>
      </c>
    </row>
    <row r="20" spans="1:5">
      <c r="A20">
        <f>SUM(Main!Y$2:Y$25)+Main!D20</f>
        <v>133.93578500000001</v>
      </c>
      <c r="B20">
        <f>SUM(Main!E20:AD20)</f>
        <v>133.935745</v>
      </c>
      <c r="D20" s="2">
        <f t="shared" si="0"/>
        <v>4.0000000012696546E-5</v>
      </c>
    </row>
    <row r="21" spans="1:5">
      <c r="A21">
        <f>SUM(Main!Z$2:Z$25)+Main!D21</f>
        <v>3.5999999999999999E-3</v>
      </c>
      <c r="B21">
        <f>SUM(Main!E21:AD21)</f>
        <v>3.6000000999999999E-3</v>
      </c>
      <c r="D21" s="2">
        <f t="shared" si="0"/>
        <v>-1.0000000003410059E-10</v>
      </c>
    </row>
    <row r="22" spans="1:5">
      <c r="A22">
        <f>SUM(Main!AA$2:AA$25)+Main!D22</f>
        <v>2.6829899699999999</v>
      </c>
      <c r="B22">
        <f>SUM(Main!E22:AD22)</f>
        <v>2.6829900000636999</v>
      </c>
      <c r="D22" s="2">
        <f t="shared" si="0"/>
        <v>-3.0063699973936764E-8</v>
      </c>
    </row>
    <row r="23" spans="1:5">
      <c r="A23">
        <f>SUM(Main!AB$2:AB$25)+Main!D23</f>
        <v>0.26</v>
      </c>
      <c r="B23">
        <f>SUM(Main!E23:AD23)</f>
        <v>0.26</v>
      </c>
      <c r="D23" s="2">
        <f t="shared" si="0"/>
        <v>0</v>
      </c>
    </row>
    <row r="24" spans="1:5">
      <c r="A24">
        <f>SUM(Main!AC$2:AC$25)+Main!D24</f>
        <v>1736.9293360000001</v>
      </c>
      <c r="B24">
        <f>SUM(Main!E24:AD24)</f>
        <v>1736.9293</v>
      </c>
      <c r="D24" s="2">
        <f t="shared" si="0"/>
        <v>3.6000000136482413E-5</v>
      </c>
    </row>
    <row r="25" spans="1:5">
      <c r="A25">
        <f>SUM(Main!AD$2:AD$25)+Main!D25</f>
        <v>1384.1412447</v>
      </c>
      <c r="B25">
        <f>SUM(Main!E25:AD25)</f>
        <v>1384.1412200000002</v>
      </c>
      <c r="D25" s="2">
        <f t="shared" si="0"/>
        <v>2.4699999812582973E-5</v>
      </c>
    </row>
    <row r="27" spans="1:5">
      <c r="E27" t="s">
        <v>35</v>
      </c>
    </row>
    <row r="28" spans="1:5">
      <c r="A28">
        <f>SUM(A2:A25)</f>
        <v>6814.7626785700004</v>
      </c>
      <c r="B28">
        <f>SUM(B2:B25)</f>
        <v>6814.7626479928012</v>
      </c>
      <c r="D28">
        <f>A28-B28</f>
        <v>3.0577199140680023E-5</v>
      </c>
      <c r="E28">
        <f>D28/B28</f>
        <v>4.4869059599142656E-9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OtherData</vt:lpstr>
      <vt:lpstr>Throughflows</vt:lpstr>
    </vt:vector>
  </TitlesOfParts>
  <Company>UNCW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Borrett</dc:creator>
  <cp:lastModifiedBy>Stuart Borrett</cp:lastModifiedBy>
  <dcterms:created xsi:type="dcterms:W3CDTF">2013-01-20T21:43:20Z</dcterms:created>
  <dcterms:modified xsi:type="dcterms:W3CDTF">2013-01-21T00:38:19Z</dcterms:modified>
</cp:coreProperties>
</file>